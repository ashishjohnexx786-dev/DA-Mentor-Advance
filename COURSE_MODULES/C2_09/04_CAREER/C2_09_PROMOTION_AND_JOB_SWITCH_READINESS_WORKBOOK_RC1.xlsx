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ff0f6b719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2c6f0123eb404fa3"/>
    <x:sheet xmlns:r="http://schemas.openxmlformats.org/officeDocument/2006/relationships" name="Competency_Matrix" sheetId="2" r:id="R13be841d26204ac0"/>
    <x:sheet xmlns:r="http://schemas.openxmlformats.org/officeDocument/2006/relationships" name="Evidence_Vault" sheetId="3" r:id="Rc81912a16fc642df"/>
    <x:sheet xmlns:r="http://schemas.openxmlformats.org/officeDocument/2006/relationships" name="Interview_Stories" sheetId="4" r:id="R4ee0f617de634392"/>
    <x:sheet xmlns:r="http://schemas.openxmlformats.org/officeDocument/2006/relationships" name="Promotion_Case" sheetId="5" r:id="Radccaff32a8f485d"/>
    <x:sheet xmlns:r="http://schemas.openxmlformats.org/officeDocument/2006/relationships" name="Job_Switch_Evidence" sheetId="6" r:id="R9901792bb12d4e7e"/>
    <x:sheet xmlns:r="http://schemas.openxmlformats.org/officeDocument/2006/relationships" name="Dashboard" sheetId="7" r:id="R499755a448d8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f80ea603a4881" /><Relationship Type="http://schemas.openxmlformats.org/officeDocument/2006/relationships/theme" Target="/xl/theme/theme1.xml" Id="Ra5b1b1b9d73f46cf" /><Relationship Type="http://schemas.openxmlformats.org/officeDocument/2006/relationships/sharedStrings" Target="/xl/sharedStrings.xml" Id="Rc059ca56919d4edf" /><Relationship Type="http://schemas.openxmlformats.org/officeDocument/2006/relationships/worksheet" Target="/xl/worksheets/sheet1.xml" Id="R2c6f0123eb404fa3" /><Relationship Type="http://schemas.openxmlformats.org/officeDocument/2006/relationships/worksheet" Target="/xl/worksheets/sheet2.xml" Id="R13be841d26204ac0" /><Relationship Type="http://schemas.openxmlformats.org/officeDocument/2006/relationships/worksheet" Target="/xl/worksheets/sheet3.xml" Id="Rc81912a16fc642df" /><Relationship Type="http://schemas.openxmlformats.org/officeDocument/2006/relationships/worksheet" Target="/xl/worksheets/sheet4.xml" Id="R4ee0f617de634392" /><Relationship Type="http://schemas.openxmlformats.org/officeDocument/2006/relationships/worksheet" Target="/xl/worksheets/sheet5.xml" Id="Radccaff32a8f485d" /><Relationship Type="http://schemas.openxmlformats.org/officeDocument/2006/relationships/worksheet" Target="/xl/worksheets/sheet6.xml" Id="R9901792bb12d4e7e" /><Relationship Type="http://schemas.openxmlformats.org/officeDocument/2006/relationships/worksheet" Target="/xl/worksheets/sheet7.xml" Id="R499755a448d843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26" customHeight="1">
      <x:c r="A1" s="4" t="str">
        <x:v>C2-09 Senior / BI Promotion &amp; Job-Switch Readiness RC1</x:v>
      </x:c>
      <x:c r="B1" s="4"/>
      <x:c r="C1" s="4"/>
      <x:c r="D1" s="4"/>
      <x:c r="E1" s="4"/>
      <x:c r="F1" s="4"/>
    </x:row>
    <x:row r="3">
      <x:c r="A3" s="10" t="str">
        <x:v>Purpose</x:v>
      </x:c>
      <x:c r="B3" s="16" t="str">
        <x:v>Evidence-backed readiness, not employer entitlement or job guarantee.</x:v>
      </x:c>
    </x:row>
    <x:row r="4">
      <x:c r="A4" s="10" t="str">
        <x:v>Evidence strength</x:v>
      </x:c>
      <x:c r="B4" s="16" t="str">
        <x:v>0 None | 1 Course-only | 2 Independent project | 3 Sanitized workplace | 4 Repeated workplace ownership</x:v>
      </x:c>
    </x:row>
    <x:row r="5">
      <x:c r="A5" s="10" t="str">
        <x:v>Readiness</x:v>
      </x:c>
      <x:c r="B5" s="16" t="str">
        <x:v>0 No evidence | 1 Developing | 2 Working independently | 3 Senior-level consistency | 4 Can review/mentor</x:v>
      </x:c>
    </x:row>
    <x:row r="6">
      <x:c r="A6" s="10" t="str">
        <x:v>Truth</x:v>
      </x:c>
      <x:c r="B6" s="16" t="str">
        <x:v>Synthetic Meridian evidence must be described as project evidence.</x:v>
      </x:c>
    </x:row>
    <x:row r="7">
      <x:c r="A7" s="10" t="str">
        <x:v>Confidentiality</x:v>
      </x:c>
      <x:c r="B7" s="16" t="str">
        <x:v>Never paste employer/customer names, credentials, proprietary code or internal documents.</x:v>
      </x:c>
    </x:row>
    <x:row r="8">
      <x:c r="A8" s="10" t="str">
        <x:v>Promotion</x:v>
      </x:c>
      <x:c r="B8" s="16" t="str">
        <x:v>Internal case asks for scope/title discussion or responsibility, not promised outcome.</x:v>
      </x:c>
    </x:row>
    <x:row r="9">
      <x:c r="A9" s="10" t="str">
        <x:v>Job switch</x:v>
      </x:c>
      <x:c r="B9" s="16" t="str">
        <x:v>Map must-have requirements to proof/gaps and choose Apply/Maybe/Skip.</x:v>
      </x:c>
    </x:row>
    <x:row r="10">
      <x:c r="A10" s="10" t="str">
        <x:v>Salary</x:v>
      </x:c>
      <x:c r="B10" s="16" t="str">
        <x:v>Do not invent salary uplift or market guarantee from course completion.</x:v>
      </x:c>
    </x:row>
    <x:row r="11">
      <x:c r="A11" s="10" t="str">
        <x:v>Interview</x:v>
      </x:c>
      <x:c r="B11" s="16" t="str">
        <x:v>Every claim must point to a saved evidence ID.</x:v>
      </x:c>
    </x:row>
    <x:row r="12">
      <x:c r="A12" s="10" t="str">
        <x:v>Course status</x:v>
      </x:c>
      <x:c r="B12" s="16" t="str">
        <x:v>Promotion readiness does not alter core C2A completion.</x:v>
      </x:c>
    </x:row>
    <x:row r="13">
      <x:c r="A13" s="10" t="str">
        <x:v>DE route</x:v>
      </x:c>
      <x:c r="B13" s="16" t="str">
        <x:v>Senior/BI readiness does not equal Data Engineer readiness.</x:v>
      </x:c>
    </x:row>
    <x:row r="14">
      <x:c r="A14" s="10" t="str">
        <x:v>Release</x:v>
      </x:c>
      <x:c r="B14" s="16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0" hidden="0" customWidth="1"/>
    <x:col min="3" max="3" width="16" hidden="0" customWidth="1"/>
    <x:col min="4" max="4" width="20" hidden="0" customWidth="1"/>
    <x:col min="5" max="5" width="22" hidden="0" customWidth="1"/>
    <x:col min="6" max="6" width="42" hidden="0" customWidth="1"/>
    <x:col min="7" max="7" width="20" hidden="0" customWidth="1"/>
  </x:cols>
  <x:sheetData>
    <x:row r="1" ht="26" customHeight="1">
      <x:c r="A1" s="4" t="str">
        <x:v>Senior / BI Competency Matrix</x:v>
      </x:c>
      <x:c r="B1" s="4"/>
      <x:c r="C1" s="4"/>
      <x:c r="D1" s="4"/>
      <x:c r="E1" s="4"/>
      <x:c r="F1" s="4"/>
      <x:c r="G1" s="4"/>
    </x:row>
    <x:row r="3">
      <x:c r="A3" s="22" t="str">
        <x:v>Competency</x:v>
      </x:c>
      <x:c r="B3" s="22" t="str">
        <x:v>Evidence strength 0-4</x:v>
      </x:c>
      <x:c r="C3" s="22" t="str">
        <x:v>Readiness 0-4</x:v>
      </x:c>
      <x:c r="D3" s="22" t="str">
        <x:v>Primary evidence ID</x:v>
      </x:c>
      <x:c r="E3" s="22" t="str">
        <x:v>Evidence type</x:v>
      </x:c>
      <x:c r="F3" s="22" t="str">
        <x:v>Gap / next action</x:v>
      </x:c>
      <x:c r="G3" s="22" t="str">
        <x:v>Ready?</x:v>
      </x:c>
    </x:row>
    <x:row r="4">
      <x:c r="A4" t="str">
        <x:v>Advanced analytical SQL</x:v>
      </x:c>
      <x:c r="B4" t="str"/>
      <x:c r="C4" t="str"/>
      <x:c r="D4" t="str"/>
      <x:c r="E4" t="str"/>
      <x:c r="F4" t="str"/>
      <x:c r="G4" t="str">
        <x:f>IF(AND(B4&gt;=2,C4&gt;=3,D4&lt;&gt;""),"EVIDENCE READY","DEVELOPING")</x:f>
        <x:v>DEVELOPING</x:v>
      </x:c>
    </x:row>
    <x:row r="5">
      <x:c r="A5" t="str">
        <x:v>Excel / Power Query automation</x:v>
      </x:c>
      <x:c r="B5" t="str"/>
      <x:c r="C5" t="str"/>
      <x:c r="D5" t="str"/>
      <x:c r="E5" t="str"/>
      <x:c r="F5" t="str"/>
      <x:c r="G5" t="str">
        <x:f>IF(AND(B5&gt;=2,C5&gt;=3,D5&lt;&gt;""),"EVIDENCE READY","DEVELOPING")</x:f>
        <x:v>DEVELOPING</x:v>
      </x:c>
    </x:row>
    <x:row r="6">
      <x:c r="A6" t="str">
        <x:v>Power BI modeling</x:v>
      </x:c>
      <x:c r="B6" t="str"/>
      <x:c r="C6" t="str"/>
      <x:c r="D6" t="str"/>
      <x:c r="E6" t="str"/>
      <x:c r="F6" t="str"/>
      <x:c r="G6" t="str">
        <x:f>IF(AND(B6&gt;=2,C6&gt;=3,D6&lt;&gt;""),"EVIDENCE READY","DEVELOPING")</x:f>
        <x:v>DEVELOPING</x:v>
      </x:c>
    </x:row>
    <x:row r="7">
      <x:c r="A7" t="str">
        <x:v>DAX / reporting</x:v>
      </x:c>
      <x:c r="B7" t="str"/>
      <x:c r="C7" t="str"/>
      <x:c r="D7" t="str"/>
      <x:c r="E7" t="str"/>
      <x:c r="F7" t="str"/>
      <x:c r="G7" t="str">
        <x:f>IF(AND(B7&gt;=2,C7&gt;=3,D7&lt;&gt;""),"EVIDENCE READY","DEVELOPING")</x:f>
        <x:v>DEVELOPING</x:v>
      </x:c>
    </x:row>
    <x:row r="8">
      <x:c r="A8" t="str">
        <x:v>Python automation</x:v>
      </x:c>
      <x:c r="B8" t="str"/>
      <x:c r="C8" t="str"/>
      <x:c r="D8" t="str"/>
      <x:c r="E8" t="str"/>
      <x:c r="F8" t="str"/>
      <x:c r="G8" t="str">
        <x:f>IF(AND(B8&gt;=2,C8&gt;=3,D8&lt;&gt;""),"EVIDENCE READY","DEVELOPING")</x:f>
        <x:v>DEVELOPING</x:v>
      </x:c>
    </x:row>
    <x:row r="9">
      <x:c r="A9" t="str">
        <x:v>Data warehousing</x:v>
      </x:c>
      <x:c r="B9" t="str"/>
      <x:c r="C9" t="str"/>
      <x:c r="D9" t="str"/>
      <x:c r="E9" t="str"/>
      <x:c r="F9" t="str"/>
      <x:c r="G9" t="str">
        <x:f>IF(AND(B9&gt;=2,C9&gt;=3,D9&lt;&gt;""),"EVIDENCE READY","DEVELOPING")</x:f>
        <x:v>DEVELOPING</x:v>
      </x:c>
    </x:row>
    <x:row r="10">
      <x:c r="A10" t="str">
        <x:v>Cloud/Fabric enterprise BI</x:v>
      </x:c>
      <x:c r="B10" t="str"/>
      <x:c r="C10" t="str"/>
      <x:c r="D10" t="str"/>
      <x:c r="E10" t="str"/>
      <x:c r="F10" t="str"/>
      <x:c r="G10" t="str">
        <x:f>IF(AND(B10&gt;=2,C10&gt;=3,D10&lt;&gt;""),"EVIDENCE READY","DEVELOPING")</x:f>
        <x:v>DEVELOPING</x:v>
      </x:c>
    </x:row>
    <x:row r="11">
      <x:c r="A11" t="str">
        <x:v>Business analysis / stakeholder judgment</x:v>
      </x:c>
      <x:c r="B11" t="str"/>
      <x:c r="C11" t="str"/>
      <x:c r="D11" t="str"/>
      <x:c r="E11" t="str"/>
      <x:c r="F11" t="str"/>
      <x:c r="G11" t="str">
        <x:f>IF(AND(B11&gt;=2,C11&gt;=3,D11&lt;&gt;""),"EVIDENCE READY","DEVELOPING")</x:f>
        <x:v>DEVELOPING</x:v>
      </x:c>
    </x:row>
    <x:row r="12">
      <x:c r="A12" t="str">
        <x:v>Validation / data quality</x:v>
      </x:c>
      <x:c r="B12" t="str"/>
      <x:c r="C12" t="str"/>
      <x:c r="D12" t="str"/>
      <x:c r="E12" t="str"/>
      <x:c r="F12" t="str"/>
      <x:c r="G12" t="str">
        <x:f>IF(AND(B12&gt;=2,C12&gt;=3,D12&lt;&gt;""),"EVIDENCE READY","DEVELOPING")</x:f>
        <x:v>DEVELOPING</x:v>
      </x:c>
    </x:row>
    <x:row r="13">
      <x:c r="A13" t="str">
        <x:v>Documentation / handoff</x:v>
      </x:c>
      <x:c r="B13" t="str"/>
      <x:c r="C13" t="str"/>
      <x:c r="D13" t="str"/>
      <x:c r="E13" t="str"/>
      <x:c r="F13" t="str"/>
      <x:c r="G13" t="str">
        <x:f>IF(AND(B13&gt;=2,C13&gt;=3,D13&lt;&gt;""),"EVIDENCE READY","DEVELOPING")</x:f>
        <x:v>DEVELOPING</x:v>
      </x:c>
    </x:row>
    <x:row r="14">
      <x:c r="A14" t="str">
        <x:v>Review / mentoring</x:v>
      </x:c>
      <x:c r="B14" t="str"/>
      <x:c r="C14" t="str"/>
      <x:c r="D14" t="str"/>
      <x:c r="E14" t="str"/>
      <x:c r="F14" t="str"/>
      <x:c r="G14" t="str">
        <x:f>IF(AND(B14&gt;=2,C14&gt;=3,D14&lt;&gt;""),"EVIDENCE READY","DEVELOPING")</x:f>
        <x:v>DEVELOPING</x:v>
      </x:c>
    </x:row>
    <x:row r="15">
      <x:c r="A15" t="str">
        <x:v>Executive communication</x:v>
      </x:c>
      <x:c r="B15" t="str"/>
      <x:c r="C15" t="str"/>
      <x:c r="D15" t="str"/>
      <x:c r="E15" t="str"/>
      <x:c r="F15" t="str"/>
      <x:c r="G15" t="str">
        <x:f>IF(AND(B15&gt;=2,C15&gt;=3,D15&lt;&gt;""),"EVIDENCE READY","DEVELOPING")</x:f>
        <x:v>DEVELOPING</x:v>
      </x:c>
    </x:row>
  </x:sheetData>
  <x:mergeCells>
    <x:mergeCell ref="A1:G1"/>
  </x:mergeCells>
  <x:dataValidations count="2">
    <x:dataValidation type="list" sqref="B4:B15">
      <x:formula1>"0,1,2,3,4"</x:formula1>
    </x:dataValidation>
    <x:dataValidation type="list" sqref="C4:C15">
      <x:formula1>"0,1,2,3,4"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0" hidden="0" customWidth="1"/>
    <x:col min="4" max="4" width="35" hidden="0" customWidth="1"/>
    <x:col min="5" max="5" width="40" hidden="0" customWidth="1"/>
    <x:col min="6" max="6" width="40" hidden="0" customWidth="1"/>
    <x:col min="7" max="7" width="15" hidden="0" customWidth="1"/>
    <x:col min="8" max="8" width="24" hidden="0" customWidth="1"/>
    <x:col min="9" max="9" width="22" hidden="0" customWidth="1"/>
    <x:col min="10" max="10" width="38" hidden="0" customWidth="1"/>
    <x:col min="11" max="11" width="35" hidden="0" customWidth="1"/>
  </x:cols>
  <x:sheetData>
    <x:row r="1" ht="26" customHeight="1">
      <x:c r="A1" s="4" t="str">
        <x:v>Evidence Vault - Public/Sanitized Proof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22" t="str">
        <x:v>Evidence ID</x:v>
      </x:c>
      <x:c r="B3" s="22" t="str">
        <x:v>Date</x:v>
      </x:c>
      <x:c r="C3" s="22" t="str">
        <x:v>Competency</x:v>
      </x:c>
      <x:c r="D3" s="22" t="str">
        <x:v>Situation</x:v>
      </x:c>
      <x:c r="E3" s="22" t="str">
        <x:v>My action</x:v>
      </x:c>
      <x:c r="F3" s="22" t="str">
        <x:v>Observed project/work result</x:v>
      </x:c>
      <x:c r="G3" s="22" t="str">
        <x:v>Strength 0-4</x:v>
      </x:c>
      <x:c r="H3" s="22" t="str">
        <x:v>Evidence type</x:v>
      </x:c>
      <x:c r="I3" s="22" t="str">
        <x:v>Confidentiality check</x:v>
      </x:c>
      <x:c r="J3" s="22" t="str">
        <x:v>Artifact/path</x:v>
      </x:c>
      <x:c r="K3" s="22" t="str">
        <x:v>Notes</x:v>
      </x:c>
    </x:row>
    <x:row r="4">
      <x:c r="A4" t="str">
        <x:v>EV01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</x:row>
    <x:row r="5">
      <x:c r="A5" t="str">
        <x:v>EV02</x:v>
      </x:c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</x:row>
    <x:row r="6">
      <x:c r="A6" t="str">
        <x:v>EV03</x:v>
      </x:c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</x:row>
    <x:row r="7">
      <x:c r="A7" t="str">
        <x:v>EV04</x:v>
      </x:c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</x:row>
    <x:row r="8">
      <x:c r="A8" t="str">
        <x:v>EV05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</x:row>
    <x:row r="9">
      <x:c r="A9" t="str">
        <x:v>EV06</x:v>
      </x:c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</x:row>
    <x:row r="10">
      <x:c r="A10" t="str">
        <x:v>EV07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</x:row>
    <x:row r="11">
      <x:c r="A11" t="str">
        <x:v>EV08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</x:row>
    <x:row r="12">
      <x:c r="A12" t="str">
        <x:v>EV09</x:v>
      </x:c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</x:row>
    <x:row r="13">
      <x:c r="A13" t="str">
        <x:v>EV10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</x:row>
    <x:row r="14">
      <x:c r="A14" t="str">
        <x:v>EV11</x:v>
      </x:c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</x:row>
    <x:row r="15">
      <x:c r="A15" t="str">
        <x:v>EV12</x:v>
      </x:c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</x:row>
    <x:row r="16">
      <x:c r="A16" t="str">
        <x:v>EV13</x:v>
      </x:c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</x:row>
    <x:row r="17">
      <x:c r="A17" t="str">
        <x:v>EV14</x:v>
      </x:c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</x:row>
    <x:row r="18">
      <x:c r="A18" t="str">
        <x:v>EV15</x:v>
      </x:c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</x:row>
    <x:row r="19">
      <x:c r="A19" t="str">
        <x:v>EV16</x:v>
      </x:c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</x:row>
    <x:row r="20">
      <x:c r="A20" t="str">
        <x:v>EV17</x:v>
      </x:c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</x:row>
    <x:row r="21">
      <x:c r="A21" t="str">
        <x:v>EV18</x:v>
      </x:c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</x:row>
    <x:row r="22">
      <x:c r="A22" t="str">
        <x:v>EV19</x:v>
      </x:c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</x:row>
    <x:row r="23">
      <x:c r="A23" t="str">
        <x:v>EV20</x:v>
      </x:c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</x:row>
  </x:sheetData>
  <x:mergeCells>
    <x:mergeCell ref="A1:K1"/>
  </x:mergeCells>
  <x:dataValidations count="3">
    <x:dataValidation type="list" sqref="G4:G23">
      <x:formula1>"0,1,2,3,4"</x:formula1>
    </x:dataValidation>
    <x:dataValidation type="list" sqref="H4:H23">
      <x:formula1>"COURSE,INDEPENDENT PROJECT,SANITIZED WORKPLACE,REPEATED WORKPLACE"</x:formula1>
    </x:dataValidation>
    <x:dataValidation type="list" sqref="I4:I23">
      <x:formula1>"PASS,DO NOT USE"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34" hidden="0" customWidth="1"/>
    <x:col min="4" max="4" width="31" hidden="0" customWidth="1"/>
    <x:col min="5" max="5" width="40" hidden="0" customWidth="1"/>
    <x:col min="6" max="6" width="38" hidden="0" customWidth="1"/>
    <x:col min="7" max="7" width="34" hidden="0" customWidth="1"/>
    <x:col min="8" max="8" width="17" hidden="0" customWidth="1"/>
    <x:col min="9" max="9" width="35" hidden="0" customWidth="1"/>
    <x:col min="10" max="10" width="15" hidden="0" customWidth="1"/>
  </x:cols>
  <x:sheetData>
    <x:row r="1" ht="26" customHeight="1">
      <x:c r="A1" s="4" t="str">
        <x:v>Interview Stories - Truth Checked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22" t="str">
        <x:v>Story ID</x:v>
      </x:c>
      <x:c r="B3" s="22" t="str">
        <x:v>Target competency</x:v>
      </x:c>
      <x:c r="C3" s="22" t="str">
        <x:v>Situation</x:v>
      </x:c>
      <x:c r="D3" s="22" t="str">
        <x:v>Task</x:v>
      </x:c>
      <x:c r="E3" s="22" t="str">
        <x:v>Action</x:v>
      </x:c>
      <x:c r="F3" s="22" t="str">
        <x:v>Evidence/result</x:v>
      </x:c>
      <x:c r="G3" s="22" t="str">
        <x:v>Learning/limitation</x:v>
      </x:c>
      <x:c r="H3" s="22" t="str">
        <x:v>Evidence ID</x:v>
      </x:c>
      <x:c r="I3" s="22" t="str">
        <x:v>Changed follow-up</x:v>
      </x:c>
      <x:c r="J3" s="22" t="str">
        <x:v>Truth check</x:v>
      </x:c>
    </x:row>
    <x:row r="4">
      <x:c r="A4" t="str">
        <x:v>S01</x:v>
      </x:c>
      <x:c r="B4" t="str"/>
      <x:c r="C4" t="str"/>
      <x:c r="D4" t="str"/>
      <x:c r="E4" t="str"/>
      <x:c r="F4" t="str"/>
      <x:c r="G4" t="str"/>
      <x:c r="H4" t="str"/>
      <x:c r="I4" t="str"/>
      <x:c r="J4" t="str"/>
    </x:row>
    <x:row r="5">
      <x:c r="A5" t="str">
        <x:v>S02</x:v>
      </x:c>
      <x:c r="B5" t="str"/>
      <x:c r="C5" t="str"/>
      <x:c r="D5" t="str"/>
      <x:c r="E5" t="str"/>
      <x:c r="F5" t="str"/>
      <x:c r="G5" t="str"/>
      <x:c r="H5" t="str"/>
      <x:c r="I5" t="str"/>
      <x:c r="J5" t="str"/>
    </x:row>
    <x:row r="6">
      <x:c r="A6" t="str">
        <x:v>S03</x:v>
      </x:c>
      <x:c r="B6" t="str"/>
      <x:c r="C6" t="str"/>
      <x:c r="D6" t="str"/>
      <x:c r="E6" t="str"/>
      <x:c r="F6" t="str"/>
      <x:c r="G6" t="str"/>
      <x:c r="H6" t="str"/>
      <x:c r="I6" t="str"/>
      <x:c r="J6" t="str"/>
    </x:row>
    <x:row r="7">
      <x:c r="A7" t="str">
        <x:v>S04</x:v>
      </x:c>
      <x:c r="B7" t="str"/>
      <x:c r="C7" t="str"/>
      <x:c r="D7" t="str"/>
      <x:c r="E7" t="str"/>
      <x:c r="F7" t="str"/>
      <x:c r="G7" t="str"/>
      <x:c r="H7" t="str"/>
      <x:c r="I7" t="str"/>
      <x:c r="J7" t="str"/>
    </x:row>
    <x:row r="8">
      <x:c r="A8" t="str">
        <x:v>S05</x:v>
      </x:c>
      <x:c r="B8" t="str"/>
      <x:c r="C8" t="str"/>
      <x:c r="D8" t="str"/>
      <x:c r="E8" t="str"/>
      <x:c r="F8" t="str"/>
      <x:c r="G8" t="str"/>
      <x:c r="H8" t="str"/>
      <x:c r="I8" t="str"/>
      <x:c r="J8" t="str"/>
    </x:row>
    <x:row r="9">
      <x:c r="A9" t="str">
        <x:v>S06</x:v>
      </x:c>
      <x:c r="B9" t="str"/>
      <x:c r="C9" t="str"/>
      <x:c r="D9" t="str"/>
      <x:c r="E9" t="str"/>
      <x:c r="F9" t="str"/>
      <x:c r="G9" t="str"/>
      <x:c r="H9" t="str"/>
      <x:c r="I9" t="str"/>
      <x:c r="J9" t="str"/>
    </x:row>
    <x:row r="10">
      <x:c r="A10" t="str">
        <x:v>S07</x:v>
      </x:c>
      <x:c r="B10" t="str"/>
      <x:c r="C10" t="str"/>
      <x:c r="D10" t="str"/>
      <x:c r="E10" t="str"/>
      <x:c r="F10" t="str"/>
      <x:c r="G10" t="str"/>
      <x:c r="H10" t="str"/>
      <x:c r="I10" t="str"/>
      <x:c r="J10" t="str"/>
    </x:row>
    <x:row r="11">
      <x:c r="A11" t="str">
        <x:v>S08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</x:row>
    <x:row r="12">
      <x:c r="A12" t="str">
        <x:v>S09</x:v>
      </x:c>
      <x:c r="B12" t="str"/>
      <x:c r="C12" t="str"/>
      <x:c r="D12" t="str"/>
      <x:c r="E12" t="str"/>
      <x:c r="F12" t="str"/>
      <x:c r="G12" t="str"/>
      <x:c r="H12" t="str"/>
      <x:c r="I12" t="str"/>
      <x:c r="J12" t="str"/>
    </x:row>
    <x:row r="13">
      <x:c r="A13" t="str">
        <x:v>S10</x:v>
      </x:c>
      <x:c r="B13" t="str"/>
      <x:c r="C13" t="str"/>
      <x:c r="D13" t="str"/>
      <x:c r="E13" t="str"/>
      <x:c r="F13" t="str"/>
      <x:c r="G13" t="str"/>
      <x:c r="H13" t="str"/>
      <x:c r="I13" t="str"/>
      <x:c r="J13" t="str"/>
    </x:row>
  </x:sheetData>
  <x:mergeCells>
    <x:mergeCell ref="A1:J1"/>
  </x:mergeCells>
  <x:dataValidations count="1">
    <x:dataValidation type="list" sqref="J4:J13">
      <x:formula1>"PASS,REVISE"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  <x:col min="3" max="3" width="28" hidden="0" customWidth="1"/>
    <x:col min="4" max="4" width="42" hidden="0" customWidth="1"/>
  </x:cols>
  <x:sheetData>
    <x:row r="1" ht="26" customHeight="1">
      <x:c r="A1" s="4" t="str">
        <x:v>Internal Promotion / Expanded-Scope Case</x:v>
      </x:c>
      <x:c r="B1" s="4"/>
      <x:c r="C1" s="4"/>
      <x:c r="D1" s="4"/>
    </x:row>
    <x:row r="3">
      <x:c r="A3" s="22" t="str">
        <x:v>Section</x:v>
      </x:c>
      <x:c r="B3" s="22" t="str">
        <x:v>Your evidence-backed case</x:v>
      </x:c>
      <x:c r="C3" s="22" t="str">
        <x:v>Evidence ID/strength</x:v>
      </x:c>
      <x:c r="D3" s="22" t="str">
        <x:v>Gap / decision owner</x:v>
      </x:c>
    </x:row>
    <x:row r="4">
      <x:c r="A4" t="str">
        <x:v>Target capability / role</x:v>
      </x:c>
      <x:c r="B4" t="str"/>
      <x:c r="C4" t="str"/>
      <x:c r="D4" t="str"/>
    </x:row>
    <x:row r="5">
      <x:c r="A5" t="str">
        <x:v>Why now</x:v>
      </x:c>
      <x:c r="B5" t="str"/>
      <x:c r="C5" t="str"/>
      <x:c r="D5" t="str"/>
    </x:row>
    <x:row r="6">
      <x:c r="A6" t="str">
        <x:v>Technical ownership</x:v>
      </x:c>
      <x:c r="B6" t="str"/>
      <x:c r="C6" t="str"/>
      <x:c r="D6" t="str"/>
    </x:row>
    <x:row r="7">
      <x:c r="A7" t="str">
        <x:v>Analytical judgment</x:v>
      </x:c>
      <x:c r="B7" t="str"/>
      <x:c r="C7" t="str"/>
      <x:c r="D7" t="str"/>
    </x:row>
    <x:row r="8">
      <x:c r="A8" t="str">
        <x:v>Stakeholder / communication</x:v>
      </x:c>
      <x:c r="B8" t="str"/>
      <x:c r="C8" t="str"/>
      <x:c r="D8" t="str"/>
    </x:row>
    <x:row r="9">
      <x:c r="A9" t="str">
        <x:v>Automation / repeatability</x:v>
      </x:c>
      <x:c r="B9" t="str"/>
      <x:c r="C9" t="str"/>
      <x:c r="D9" t="str"/>
    </x:row>
    <x:row r="10">
      <x:c r="A10" t="str">
        <x:v>Quality / validation</x:v>
      </x:c>
      <x:c r="B10" t="str"/>
      <x:c r="C10" t="str"/>
      <x:c r="D10" t="str"/>
    </x:row>
    <x:row r="11">
      <x:c r="A11" t="str">
        <x:v>Documentation / mentoring</x:v>
      </x:c>
      <x:c r="B11" t="str"/>
      <x:c r="C11" t="str"/>
      <x:c r="D11" t="str"/>
    </x:row>
    <x:row r="12">
      <x:c r="A12" t="str">
        <x:v>Business value - truthful only</x:v>
      </x:c>
      <x:c r="B12" t="str"/>
      <x:c r="C12" t="str"/>
      <x:c r="D12" t="str"/>
    </x:row>
    <x:row r="13">
      <x:c r="A13" t="str">
        <x:v>Known gaps</x:v>
      </x:c>
      <x:c r="B13" t="str"/>
      <x:c r="C13" t="str"/>
      <x:c r="D13" t="str"/>
    </x:row>
    <x:row r="14">
      <x:c r="A14" t="str">
        <x:v>Specific next-step request</x:v>
      </x:c>
      <x:c r="B14" t="str"/>
      <x:c r="C14" t="str"/>
      <x:c r="D14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0" hidden="0" customWidth="1"/>
    <x:col min="3" max="3" width="15" hidden="0" customWidth="1"/>
    <x:col min="4" max="4" width="42" hidden="0" customWidth="1"/>
    <x:col min="5" max="5" width="17" hidden="0" customWidth="1"/>
    <x:col min="6" max="6" width="40" hidden="0" customWidth="1"/>
    <x:col min="7" max="7" width="18" hidden="0" customWidth="1"/>
    <x:col min="8" max="8" width="36" hidden="0" customWidth="1"/>
    <x:col min="9" max="9" width="36" hidden="0" customWidth="1"/>
  </x:cols>
  <x:sheetData>
    <x:row r="1" ht="26" customHeight="1">
      <x:c r="A1" s="4" t="str">
        <x:v>External Job-Switch Evidence Matrix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2" t="str">
        <x:v>Target role</x:v>
      </x:c>
      <x:c r="B3" s="22" t="str">
        <x:v>Requirement</x:v>
      </x:c>
      <x:c r="C3" s="22" t="str">
        <x:v>Must-have?</x:v>
      </x:c>
      <x:c r="D3" s="22" t="str">
        <x:v>My proof</x:v>
      </x:c>
      <x:c r="E3" s="22" t="str">
        <x:v>Evidence ID</x:v>
      </x:c>
      <x:c r="F3" s="22" t="str">
        <x:v>Production gap</x:v>
      </x:c>
      <x:c r="G3" s="22" t="str">
        <x:v>Apply/Maybe/Skip</x:v>
      </x:c>
      <x:c r="H3" s="22" t="str">
        <x:v>Why</x:v>
      </x:c>
      <x:c r="I3" s="22" t="str">
        <x:v>Next action</x:v>
      </x:c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</x:row>
  </x:sheetData>
  <x:mergeCells>
    <x:mergeCell ref="A1:I1"/>
  </x:mergeCells>
  <x:dataValidations count="2">
    <x:dataValidation type="list" sqref="C4:C18">
      <x:formula1>"YES,NO"</x:formula1>
    </x:dataValidation>
    <x:dataValidation type="list" sqref="G4:G18">
      <x:formula1>"APPLY,MAYBE,SKIP"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8" hidden="0" customWidth="1"/>
  </x:cols>
  <x:sheetData>
    <x:row r="1" ht="26" customHeight="1">
      <x:c r="A1" s="4" t="str">
        <x:v>Promotion / Job-Switch Readiness Dashboard</x:v>
      </x:c>
      <x:c r="B1" s="4"/>
      <x:c r="C1" s="4"/>
      <x:c r="D1" s="4"/>
      <x:c r="E1" s="4"/>
      <x:c r="F1" s="4"/>
    </x:row>
    <x:row r="3">
      <x:c r="A3" s="22" t="str">
        <x:v>Metric</x:v>
      </x:c>
      <x:c r="B3" s="22" t="str">
        <x:v>Value</x:v>
      </x:c>
    </x:row>
    <x:row r="4">
      <x:c r="A4" t="str">
        <x:v>Competencies tracked</x:v>
      </x:c>
      <x:c r="B4" t="n">
        <x:v>12</x:v>
      </x:c>
    </x:row>
    <x:row r="5">
      <x:c r="A5" t="str">
        <x:v>Evidence-ready competencies</x:v>
      </x:c>
      <x:c r="B5" t="n">
        <x:f>COUNTIF(Competency_Matrix!G4:G15,"EVIDENCE READY")</x:f>
        <x:v>0</x:v>
      </x:c>
    </x:row>
    <x:row r="6">
      <x:c r="A6" t="str">
        <x:v>Average evidence strength</x:v>
      </x:c>
      <x:c r="B6" t="n">
        <x:f>IFERROR(AVERAGE(Competency_Matrix!B4:B15),0)</x:f>
        <x:v>0</x:v>
      </x:c>
    </x:row>
    <x:row r="7">
      <x:c r="A7" t="str">
        <x:v>Average readiness</x:v>
      </x:c>
      <x:c r="B7" t="n">
        <x:f>IFERROR(AVERAGE(Competency_Matrix!C4:C15),0)</x:f>
        <x:v>0</x:v>
      </x:c>
    </x:row>
    <x:row r="8">
      <x:c r="A8" t="str">
        <x:v>Interview stories truth-PASS</x:v>
      </x:c>
      <x:c r="B8" t="n">
        <x:f>COUNTIF(Interview_Stories!J4:J13,"PASS")</x:f>
        <x:v>0</x:v>
      </x:c>
    </x:row>
    <x:row r="9">
      <x:c r="A9" t="str">
        <x:v>Promotion case</x:v>
      </x:c>
      <x:c r="B9" t="str">
        <x:v>MANUAL REVIEW</x:v>
      </x:c>
    </x:row>
    <x:row r="10">
      <x:c r="A10" t="str">
        <x:v>Job-switch rows marked APPLY</x:v>
      </x:c>
      <x:c r="B10" t="n">
        <x:f>COUNTIF(Job_Switch_Evidence!G4:G18,"APPLY")</x:f>
        <x:v>0</x:v>
      </x:c>
    </x:row>
    <x:row r="11">
      <x:c r="A11" t="str">
        <x:v>Course 3 status</x:v>
      </x:c>
      <x:c r="B11" t="str">
        <x:v>Controlled separately</x:v>
      </x:c>
    </x:row>
  </x:sheetData>
  <x:mergeCells>
    <x:mergeCell ref="A1:F1"/>
  </x:mergeCells>
  <x:pageMargins left="0.7" right="0.7" top="0.75" bottom="0.75" header="0.3" footer="0.3"/>
</x:worksheet>
</file>