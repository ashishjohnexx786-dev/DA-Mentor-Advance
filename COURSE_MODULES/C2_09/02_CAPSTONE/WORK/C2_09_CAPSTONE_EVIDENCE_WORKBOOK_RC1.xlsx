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13b72bc27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79f729701234e08"/>
    <x:sheet xmlns:r="http://schemas.openxmlformats.org/officeDocument/2006/relationships" name="CAP_Tracker" sheetId="2" r:id="Rac963855dce54f66"/>
    <x:sheet xmlns:r="http://schemas.openxmlformats.org/officeDocument/2006/relationships" name="CAP1_Decision_Contract" sheetId="3" r:id="R7abdc7b03f40436c"/>
    <x:sheet xmlns:r="http://schemas.openxmlformats.org/officeDocument/2006/relationships" name="CAP2_Source_Inventory" sheetId="4" r:id="R7fd21098f9564b11"/>
    <x:sheet xmlns:r="http://schemas.openxmlformats.org/officeDocument/2006/relationships" name="CAP3_SQL_Extract" sheetId="5" r:id="R8646f7a292144a79"/>
    <x:sheet xmlns:r="http://schemas.openxmlformats.org/officeDocument/2006/relationships" name="CAP4_Transform_Log" sheetId="6" r:id="R7bd65513f53243b7"/>
    <x:sheet xmlns:r="http://schemas.openxmlformats.org/officeDocument/2006/relationships" name="CAP5_Model_Register" sheetId="7" r:id="R6c8577eb819a4089"/>
    <x:sheet xmlns:r="http://schemas.openxmlformats.org/officeDocument/2006/relationships" name="CAP5_Measure_Contracts" sheetId="8" r:id="R746cd68ec2f24549"/>
    <x:sheet xmlns:r="http://schemas.openxmlformats.org/officeDocument/2006/relationships" name="CAP6_OIR_Analysis" sheetId="9" r:id="Rbaa9a2a479c54f5a"/>
    <x:sheet xmlns:r="http://schemas.openxmlformats.org/officeDocument/2006/relationships" name="CAP7_Report_QA" sheetId="10" r:id="R88675ee05f1c45d1"/>
    <x:sheet xmlns:r="http://schemas.openxmlformats.org/officeDocument/2006/relationships" name="CAP8_Validation_Log" sheetId="11" r:id="R1ed4a42269744adc"/>
    <x:sheet xmlns:r="http://schemas.openxmlformats.org/officeDocument/2006/relationships" name="CAP9_Executive_Brief" sheetId="12" r:id="Rf5e5026cea054bec"/>
    <x:sheet xmlns:r="http://schemas.openxmlformats.org/officeDocument/2006/relationships" name="CAP10_Handover_Index" sheetId="13" r:id="R66c0693666d142f3"/>
    <x:sheet xmlns:r="http://schemas.openxmlformats.org/officeDocument/2006/relationships" name="CAP11_Defense" sheetId="14" r:id="R795aa092cc4944e0"/>
    <x:sheet xmlns:r="http://schemas.openxmlformats.org/officeDocument/2006/relationships" name="CAP12_Interview_Stories" sheetId="15" r:id="R546a9d2ffc9145fe"/>
    <x:sheet xmlns:r="http://schemas.openxmlformats.org/officeDocument/2006/relationships" name="CAP13_Promotion_Case" sheetId="16" r:id="R38c96c7c5eb0435a"/>
    <x:sheet xmlns:r="http://schemas.openxmlformats.org/officeDocument/2006/relationships" name="CAP14_Job_Switch" sheetId="17" r:id="R8814b198a99f4f7e"/>
    <x:sheet xmlns:r="http://schemas.openxmlformats.org/officeDocument/2006/relationships" name="Dashboard" sheetId="18" r:id="Rb49770a7b694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d51711e5a43fa" /><Relationship Type="http://schemas.openxmlformats.org/officeDocument/2006/relationships/theme" Target="/xl/theme/theme1.xml" Id="R23eaf96ccbf54c7d" /><Relationship Type="http://schemas.openxmlformats.org/officeDocument/2006/relationships/sharedStrings" Target="/xl/sharedStrings.xml" Id="R766d37b728984905" /><Relationship Type="http://schemas.openxmlformats.org/officeDocument/2006/relationships/worksheet" Target="/xl/worksheets/sheet1.xml" Id="R579f729701234e08" /><Relationship Type="http://schemas.openxmlformats.org/officeDocument/2006/relationships/worksheet" Target="/xl/worksheets/sheet2.xml" Id="Rac963855dce54f66" /><Relationship Type="http://schemas.openxmlformats.org/officeDocument/2006/relationships/worksheet" Target="/xl/worksheets/sheet3.xml" Id="R7abdc7b03f40436c" /><Relationship Type="http://schemas.openxmlformats.org/officeDocument/2006/relationships/worksheet" Target="/xl/worksheets/sheet4.xml" Id="R7fd21098f9564b11" /><Relationship Type="http://schemas.openxmlformats.org/officeDocument/2006/relationships/worksheet" Target="/xl/worksheets/sheet5.xml" Id="R8646f7a292144a79" /><Relationship Type="http://schemas.openxmlformats.org/officeDocument/2006/relationships/worksheet" Target="/xl/worksheets/sheet6.xml" Id="R7bd65513f53243b7" /><Relationship Type="http://schemas.openxmlformats.org/officeDocument/2006/relationships/worksheet" Target="/xl/worksheets/sheet7.xml" Id="R6c8577eb819a4089" /><Relationship Type="http://schemas.openxmlformats.org/officeDocument/2006/relationships/worksheet" Target="/xl/worksheets/sheet8.xml" Id="R746cd68ec2f24549" /><Relationship Type="http://schemas.openxmlformats.org/officeDocument/2006/relationships/worksheet" Target="/xl/worksheets/sheet9.xml" Id="Rbaa9a2a479c54f5a" /><Relationship Type="http://schemas.openxmlformats.org/officeDocument/2006/relationships/worksheet" Target="/xl/worksheets/sheet10.xml" Id="R88675ee05f1c45d1" /><Relationship Type="http://schemas.openxmlformats.org/officeDocument/2006/relationships/worksheet" Target="/xl/worksheets/sheet11.xml" Id="R1ed4a42269744adc" /><Relationship Type="http://schemas.openxmlformats.org/officeDocument/2006/relationships/worksheet" Target="/xl/worksheets/sheet12.xml" Id="Rf5e5026cea054bec" /><Relationship Type="http://schemas.openxmlformats.org/officeDocument/2006/relationships/worksheet" Target="/xl/worksheets/sheet13.xml" Id="R66c0693666d142f3" /><Relationship Type="http://schemas.openxmlformats.org/officeDocument/2006/relationships/worksheet" Target="/xl/worksheets/sheet14.xml" Id="R795aa092cc4944e0" /><Relationship Type="http://schemas.openxmlformats.org/officeDocument/2006/relationships/worksheet" Target="/xl/worksheets/sheet15.xml" Id="R546a9d2ffc9145fe" /><Relationship Type="http://schemas.openxmlformats.org/officeDocument/2006/relationships/worksheet" Target="/xl/worksheets/sheet16.xml" Id="R38c96c7c5eb0435a" /><Relationship Type="http://schemas.openxmlformats.org/officeDocument/2006/relationships/worksheet" Target="/xl/worksheets/sheet17.xml" Id="R8814b198a99f4f7e" /><Relationship Type="http://schemas.openxmlformats.org/officeDocument/2006/relationships/worksheet" Target="/xl/worksheets/sheet18.xml" Id="Rb49770a7b694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6" customHeight="1">
      <x:c r="A1" s="4" t="str">
        <x:v>C2-09 Meridian Senior / BI Capstone - Evidence Workbook RC1</x:v>
      </x:c>
      <x:c r="B1" s="4"/>
      <x:c r="C1" s="4"/>
      <x:c r="D1" s="4"/>
      <x:c r="E1" s="4"/>
      <x:c r="F1" s="4"/>
    </x:row>
    <x:row r="3">
      <x:c r="A3" s="10" t="str">
        <x:v>Executive question</x:v>
      </x:c>
      <x:c r="B3" s="16" t="str">
        <x:v>Where is growth healthy, where is it fragile, and what should leadership do next quarter?</x:v>
      </x:c>
    </x:row>
    <x:row r="4">
      <x:c r="A4" s="10" t="str">
        <x:v>Data package</x:v>
      </x:c>
      <x:c r="B4" s="16" t="str">
        <x:v>C2_09_MERIDIAN_CAPSTONE_DATA_RC1.zip - frozen baseline bytes, raw controls validated.</x:v>
      </x:c>
    </x:row>
    <x:row r="5">
      <x:c r="A5" s="10" t="str">
        <x:v>CAP order</x:v>
      </x:c>
      <x:c r="B5" s="16" t="str">
        <x:v>CAP1 -&gt; CAP14. Later artifacts depend on earlier trusted work.</x:v>
      </x:c>
    </x:row>
    <x:row r="6">
      <x:c r="A6" s="10" t="str">
        <x:v>Attempt rule</x:v>
      </x:c>
      <x:c r="B6" s="16" t="str">
        <x:v>Save first attempt before protected review; never overwrite the original evidence.</x:v>
      </x:c>
    </x:row>
    <x:row r="7">
      <x:c r="A7" s="10" t="str">
        <x:v>No solved answer</x:v>
      </x:c>
      <x:c r="B7" s="16" t="str">
        <x:v>No solved SQL/PBIX/Python/executive recommendation is supplied.</x:v>
      </x:c>
    </x:row>
    <x:row r="8">
      <x:c r="A8" s="10" t="str">
        <x:v>Critical grain rule</x:v>
      </x:c>
      <x:c r="B8" s="16" t="str">
        <x:v>Sales, Marketing, Targets, CustomerHealth and Support are separate facts at different grains.</x:v>
      </x:c>
    </x:row>
    <x:row r="9">
      <x:c r="A9" s="10" t="str">
        <x:v>Critical trust rule</x:v>
      </x:c>
      <x:c r="B9" s="16" t="str">
        <x:v>Unresolved grain, key, reconciliation, definition, security/privacy or integrity failure blocks release.</x:v>
      </x:c>
    </x:row>
    <x:row r="10">
      <x:c r="A10" s="10" t="str">
        <x:v>Synthetic truth rule</x:v>
      </x:c>
      <x:c r="B10" s="16" t="str">
        <x:v>Project evidence can be claimed as project evidence only - not employer/production impact.</x:v>
      </x:c>
    </x:row>
    <x:row r="11">
      <x:c r="A11" s="10" t="str">
        <x:v>Environment</x:v>
      </x:c>
      <x:c r="B11" s="16" t="str">
        <x:v>Use PostgreSQL/Power BI/Python where available; record ENVIRONMENT BLOCKED for unavailable live tenant features.</x:v>
      </x:c>
    </x:row>
    <x:row r="12">
      <x:c r="A12" s="10" t="str">
        <x:v>Review</x:v>
      </x:c>
      <x:c r="B12" s="16" t="str">
        <x:v>Protected CAP review compares standards after attempt; it is not a model solution.</x:v>
      </x:c>
    </x:row>
    <x:row r="13">
      <x:c r="A13" s="10" t="str">
        <x:v>Final Gate</x:v>
      </x:c>
      <x:c r="B13" s="16" t="str">
        <x:v>After CAP14, attempt Final Gate A independently. B/C remain protected retests.</x:v>
      </x:c>
    </x:row>
    <x:row r="14">
      <x:c r="A14" s="10" t="str">
        <x:v>Promotion</x:v>
      </x:c>
      <x:c r="B14" s="16" t="str">
        <x:v>Promotion/job-switch evidence is a separate workbook/status.</x:v>
      </x:c>
    </x:row>
    <x:row r="15">
      <x:c r="A15" s="10" t="str">
        <x:v>PL-300</x:v>
      </x:c>
      <x:c r="B15" s="16" t="str">
        <x:v>Supplementary. It never blocks C2A completion.</x:v>
      </x:c>
    </x:row>
    <x:row r="16">
      <x:c r="A16" s="10" t="str">
        <x:v>DE route</x:v>
      </x:c>
      <x:c r="B16" s="16" t="str">
        <x:v>Direct DA-&gt;DE route remains Course 1 -&gt; C2B -&gt; C3; C2A readiness is optional evidence only.</x:v>
      </x:c>
    </x:row>
    <x:row r="17">
      <x:c r="A17" s="10" t="str">
        <x:v>Release</x:v>
      </x:c>
      <x:c r="B17" s="16" t="str">
        <x:v>RC1 learner evidence system.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6" hidden="0" customWidth="1"/>
    <x:col min="4" max="4" width="13" hidden="0" customWidth="1"/>
    <x:col min="5" max="5" width="17" hidden="0" customWidth="1"/>
    <x:col min="6" max="6" width="15" hidden="0" customWidth="1"/>
    <x:col min="7" max="7" width="20" hidden="0" customWidth="1"/>
    <x:col min="8" max="8" width="16" hidden="0" customWidth="1"/>
    <x:col min="9" max="9" width="18" hidden="0" customWidth="1"/>
    <x:col min="10" max="10" width="15" hidden="0" customWidth="1"/>
    <x:col min="11" max="11" width="40" hidden="0" customWidth="1"/>
  </x:cols>
  <x:sheetData>
    <x:row r="1" ht="26" customHeight="1">
      <x:c r="A1" s="4" t="str">
        <x:v>CAP1-CAP14 Mastery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22" t="str">
        <x:v>CAP</x:v>
      </x:c>
      <x:c r="B3" s="22" t="str">
        <x:v>Attempt</x:v>
      </x:c>
      <x:c r="C3" s="22" t="str">
        <x:v>Artifact saved</x:v>
      </x:c>
      <x:c r="D3" s="22" t="str">
        <x:v>Validation</x:v>
      </x:c>
      <x:c r="E3" s="22" t="str">
        <x:v>Limitation/risk</x:v>
      </x:c>
      <x:c r="F3" s="22" t="str">
        <x:v>Explain-back</x:v>
      </x:c>
      <x:c r="G3" s="22" t="str">
        <x:v>Review after attempt</x:v>
      </x:c>
      <x:c r="H3" s="22" t="str">
        <x:v>Changed retry</x:v>
      </x:c>
      <x:c r="I3" s="22" t="str">
        <x:v>Evidence ID</x:v>
      </x:c>
      <x:c r="J3" s="22" t="str">
        <x:v>Status</x:v>
      </x:c>
      <x:c r="K3" s="22" t="str">
        <x:v>Notes</x:v>
      </x:c>
    </x:row>
    <x:row r="4">
      <x:c r="A4" t="str">
        <x:v>CAP1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NO</x:v>
      </x:c>
      <x:c r="I4" t="str"/>
      <x:c r="J4" t="str">
        <x:f>IF(AND(B4="YES",C4="YES",D4="YES",E4="YES",F4="YES",G4="YES",H4="YES",I4&lt;&gt;""),"MASTERED","NOT READY")</x:f>
        <x:v>NOT READY</x:v>
      </x:c>
      <x:c r="K4" t="str"/>
    </x:row>
    <x:row r="5">
      <x:c r="A5" t="str">
        <x:v>CAP2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NO</x:v>
      </x:c>
      <x:c r="I5" t="str"/>
      <x:c r="J5" t="str">
        <x:f>IF(AND(B5="YES",C5="YES",D5="YES",E5="YES",F5="YES",G5="YES",H5="YES",I5&lt;&gt;""),"MASTERED","NOT READY")</x:f>
        <x:v>NOT READY</x:v>
      </x:c>
      <x:c r="K5" t="str"/>
    </x:row>
    <x:row r="6">
      <x:c r="A6" t="str">
        <x:v>CAP3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NO</x:v>
      </x:c>
      <x:c r="I6" t="str"/>
      <x:c r="J6" t="str">
        <x:f>IF(AND(B6="YES",C6="YES",D6="YES",E6="YES",F6="YES",G6="YES",H6="YES",I6&lt;&gt;""),"MASTERED","NOT READY")</x:f>
        <x:v>NOT READY</x:v>
      </x:c>
      <x:c r="K6" t="str"/>
    </x:row>
    <x:row r="7">
      <x:c r="A7" t="str">
        <x:v>CAP4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NO</x:v>
      </x:c>
      <x:c r="I7" t="str"/>
      <x:c r="J7" t="str">
        <x:f>IF(AND(B7="YES",C7="YES",D7="YES",E7="YES",F7="YES",G7="YES",H7="YES",I7&lt;&gt;""),"MASTERED","NOT READY")</x:f>
        <x:v>NOT READY</x:v>
      </x:c>
      <x:c r="K7" t="str"/>
    </x:row>
    <x:row r="8">
      <x:c r="A8" t="str">
        <x:v>CAP5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NO</x:v>
      </x:c>
      <x:c r="I8" t="str"/>
      <x:c r="J8" t="str">
        <x:f>IF(AND(B8="YES",C8="YES",D8="YES",E8="YES",F8="YES",G8="YES",H8="YES",I8&lt;&gt;""),"MASTERED","NOT READY")</x:f>
        <x:v>NOT READY</x:v>
      </x:c>
      <x:c r="K8" t="str"/>
    </x:row>
    <x:row r="9">
      <x:c r="A9" t="str">
        <x:v>CAP6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NO</x:v>
      </x:c>
      <x:c r="I9" t="str"/>
      <x:c r="J9" t="str">
        <x:f>IF(AND(B9="YES",C9="YES",D9="YES",E9="YES",F9="YES",G9="YES",H9="YES",I9&lt;&gt;""),"MASTERED","NOT READY")</x:f>
        <x:v>NOT READY</x:v>
      </x:c>
      <x:c r="K9" t="str"/>
    </x:row>
    <x:row r="10">
      <x:c r="A10" t="str">
        <x:v>CAP7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NO</x:v>
      </x:c>
      <x:c r="I10" t="str"/>
      <x:c r="J10" t="str">
        <x:f>IF(AND(B10="YES",C10="YES",D10="YES",E10="YES",F10="YES",G10="YES",H10="YES",I10&lt;&gt;""),"MASTERED","NOT READY")</x:f>
        <x:v>NOT READY</x:v>
      </x:c>
      <x:c r="K10" t="str"/>
    </x:row>
    <x:row r="11">
      <x:c r="A11" t="str">
        <x:v>CAP8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NO</x:v>
      </x:c>
      <x:c r="I11" t="str"/>
      <x:c r="J11" t="str">
        <x:f>IF(AND(B11="YES",C11="YES",D11="YES",E11="YES",F11="YES",G11="YES",H11="YES",I11&lt;&gt;""),"MASTERED","NOT READY")</x:f>
        <x:v>NOT READY</x:v>
      </x:c>
      <x:c r="K11" t="str"/>
    </x:row>
    <x:row r="12">
      <x:c r="A12" t="str">
        <x:v>CAP9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</x:v>
      </x:c>
      <x:c r="H12" t="str">
        <x:v>NO</x:v>
      </x:c>
      <x:c r="I12" t="str"/>
      <x:c r="J12" t="str">
        <x:f>IF(AND(B12="YES",C12="YES",D12="YES",E12="YES",F12="YES",G12="YES",H12="YES",I12&lt;&gt;""),"MASTERED","NOT READY")</x:f>
        <x:v>NOT READY</x:v>
      </x:c>
      <x:c r="K12" t="str"/>
    </x:row>
    <x:row r="13">
      <x:c r="A13" t="str">
        <x:v>CAP10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</x:v>
      </x:c>
      <x:c r="H13" t="str">
        <x:v>NO</x:v>
      </x:c>
      <x:c r="I13" t="str"/>
      <x:c r="J13" t="str">
        <x:f>IF(AND(B13="YES",C13="YES",D13="YES",E13="YES",F13="YES",G13="YES",H13="YES",I13&lt;&gt;""),"MASTERED","NOT READY")</x:f>
        <x:v>NOT READY</x:v>
      </x:c>
      <x:c r="K13" t="str"/>
    </x:row>
    <x:row r="14">
      <x:c r="A14" t="str">
        <x:v>CAP11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</x:v>
      </x:c>
      <x:c r="H14" t="str">
        <x:v>NO</x:v>
      </x:c>
      <x:c r="I14" t="str"/>
      <x:c r="J14" t="str">
        <x:f>IF(AND(B14="YES",C14="YES",D14="YES",E14="YES",F14="YES",G14="YES",H14="YES",I14&lt;&gt;""),"MASTERED","NOT READY")</x:f>
        <x:v>NOT READY</x:v>
      </x:c>
      <x:c r="K14" t="str"/>
    </x:row>
    <x:row r="15">
      <x:c r="A15" t="str">
        <x:v>CAP12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</x:v>
      </x:c>
      <x:c r="H15" t="str">
        <x:v>NO</x:v>
      </x:c>
      <x:c r="I15" t="str"/>
      <x:c r="J15" t="str">
        <x:f>IF(AND(B15="YES",C15="YES",D15="YES",E15="YES",F15="YES",G15="YES",H15="YES",I15&lt;&gt;""),"MASTERED","NOT READY")</x:f>
        <x:v>NOT READY</x:v>
      </x:c>
      <x:c r="K15" t="str"/>
    </x:row>
    <x:row r="16">
      <x:c r="A16" t="str">
        <x:v>CAP13</x:v>
      </x:c>
      <x:c r="B16" t="str">
        <x:v>NO</x:v>
      </x:c>
      <x:c r="C16" t="str">
        <x:v>NO</x:v>
      </x:c>
      <x:c r="D16" t="str">
        <x:v>NO</x:v>
      </x:c>
      <x:c r="E16" t="str">
        <x:v>NO</x:v>
      </x:c>
      <x:c r="F16" t="str">
        <x:v>NO</x:v>
      </x:c>
      <x:c r="G16" t="str">
        <x:v>NO</x:v>
      </x:c>
      <x:c r="H16" t="str">
        <x:v>NO</x:v>
      </x:c>
      <x:c r="I16" t="str"/>
      <x:c r="J16" t="str">
        <x:f>IF(AND(B16="YES",C16="YES",D16="YES",E16="YES",F16="YES",G16="YES",H16="YES",I16&lt;&gt;""),"MASTERED","NOT READY")</x:f>
        <x:v>NOT READY</x:v>
      </x:c>
      <x:c r="K16" t="str"/>
    </x:row>
    <x:row r="17">
      <x:c r="A17" t="str">
        <x:v>CAP14</x:v>
      </x:c>
      <x:c r="B17" t="str">
        <x:v>NO</x:v>
      </x:c>
      <x:c r="C17" t="str">
        <x:v>NO</x:v>
      </x:c>
      <x:c r="D17" t="str">
        <x:v>NO</x:v>
      </x:c>
      <x:c r="E17" t="str">
        <x:v>NO</x:v>
      </x:c>
      <x:c r="F17" t="str">
        <x:v>NO</x:v>
      </x:c>
      <x:c r="G17" t="str">
        <x:v>NO</x:v>
      </x:c>
      <x:c r="H17" t="str">
        <x:v>NO</x:v>
      </x:c>
      <x:c r="I17" t="str"/>
      <x:c r="J17" t="str">
        <x:f>IF(AND(B17="YES",C17="YES",D17="YES",E17="YES",F17="YES",G17="YES",H17="YES",I17&lt;&gt;""),"MASTERED","NOT READY")</x:f>
        <x:v>NOT READY</x:v>
      </x:c>
      <x:c r="K17" t="str"/>
    </x:row>
  </x:sheetData>
  <x:mergeCells>
    <x:mergeCell ref="A1:K1"/>
  </x:mergeCells>
  <x:conditionalFormatting sqref="J4:J17">
    <x:cfRule type="expression" dxfId="0" priority="1">
      <x:formula>J4="MASTERED"</x:formula>
    </x:cfRule>
    <x:cfRule type="expression" dxfId="1" priority="2">
      <x:formula>J4="NOT READY"</x:formula>
    </x:cfRule>
  </x:conditionalFormatting>
  <x:dataValidations count="7">
    <x:dataValidation type="list" sqref="B4:B17">
      <x:formula1>"NO,YES"</x:formula1>
    </x:dataValidation>
    <x:dataValidation type="list" sqref="C4:C17">
      <x:formula1>"NO,YES"</x:formula1>
    </x:dataValidation>
    <x:dataValidation type="list" sqref="D4:D17">
      <x:formula1>"NO,YES"</x:formula1>
    </x:dataValidation>
    <x:dataValidation type="list" sqref="E4:E17">
      <x:formula1>"NO,YES"</x:formula1>
    </x:dataValidation>
    <x:dataValidation type="list" sqref="F4:F17">
      <x:formula1>"NO,YES"</x:formula1>
    </x:dataValidation>
    <x:dataValidation type="list" sqref="G4:G17">
      <x:formula1>"NO,YES"</x:formula1>
    </x:dataValidation>
    <x:dataValidation type="list" sqref="H4:H17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24" hidden="0" customWidth="1"/>
    <x:col min="4" max="4" width="44" hidden="0" customWidth="1"/>
    <x:col min="5" max="5" width="42" hidden="0" customWidth="1"/>
  </x:cols>
  <x:sheetData>
    <x:row r="1" ht="26" customHeight="1">
      <x:c r="A1" s="4" t="str">
        <x:v>CAP1 - Meridian Decision Contract</x:v>
      </x:c>
      <x:c r="B1" s="4"/>
      <x:c r="C1" s="4"/>
      <x:c r="D1" s="4"/>
      <x:c r="E1" s="4"/>
    </x:row>
    <x:row r="3">
      <x:c r="A3" s="22" t="str">
        <x:v>Area</x:v>
      </x:c>
      <x:c r="B3" s="22" t="str">
        <x:v>Your current contract</x:v>
      </x:c>
      <x:c r="C3" s="22" t="str">
        <x:v>Owner/approver</x:v>
      </x:c>
      <x:c r="D3" s="22" t="str">
        <x:v>Open question / risk</x:v>
      </x:c>
      <x:c r="E3" s="22" t="str">
        <x:v>Acceptance check</x:v>
      </x:c>
    </x:row>
    <x:row r="4">
      <x:c r="A4" s="26" t="str">
        <x:v>Decision</x:v>
      </x:c>
      <x:c r="B4" s="26" t="str"/>
      <x:c r="C4" s="26" t="str"/>
      <x:c r="D4" s="26" t="str"/>
      <x:c r="E4" s="26" t="str"/>
    </x:row>
    <x:row r="5">
      <x:c r="A5" s="26" t="str">
        <x:v>Audience</x:v>
      </x:c>
      <x:c r="B5" s="26" t="str"/>
      <x:c r="C5" s="26" t="str"/>
      <x:c r="D5" s="26" t="str"/>
      <x:c r="E5" s="26" t="str"/>
    </x:row>
    <x:row r="6">
      <x:c r="A6" s="26" t="str">
        <x:v>Comparison period</x:v>
      </x:c>
      <x:c r="B6" s="26" t="str"/>
      <x:c r="C6" s="26" t="str"/>
      <x:c r="D6" s="26" t="str"/>
      <x:c r="E6" s="26" t="str"/>
    </x:row>
    <x:row r="7">
      <x:c r="A7" s="26" t="str">
        <x:v>Healthy growth definition</x:v>
      </x:c>
      <x:c r="B7" s="26" t="str"/>
      <x:c r="C7" s="26" t="str"/>
      <x:c r="D7" s="26" t="str"/>
      <x:c r="E7" s="26" t="str"/>
    </x:row>
    <x:row r="8">
      <x:c r="A8" s="26" t="str">
        <x:v>Fragile growth definition</x:v>
      </x:c>
      <x:c r="B8" s="26" t="str"/>
      <x:c r="C8" s="26" t="str"/>
      <x:c r="D8" s="26" t="str"/>
      <x:c r="E8" s="26" t="str"/>
    </x:row>
    <x:row r="9">
      <x:c r="A9" s="26" t="str">
        <x:v>Revenue / margin definitions</x:v>
      </x:c>
      <x:c r="B9" s="26" t="str"/>
      <x:c r="C9" s="26" t="str"/>
      <x:c r="D9" s="26" t="str"/>
      <x:c r="E9" s="26" t="str"/>
    </x:row>
    <x:row r="10">
      <x:c r="A10" s="26" t="str">
        <x:v>Target / acquisition efficiency definitions</x:v>
      </x:c>
      <x:c r="B10" s="26" t="str"/>
      <x:c r="C10" s="26" t="str"/>
      <x:c r="D10" s="26" t="str"/>
      <x:c r="E10" s="26" t="str"/>
    </x:row>
    <x:row r="11">
      <x:c r="A11" s="26" t="str">
        <x:v>Customer health / support definitions</x:v>
      </x:c>
      <x:c r="B11" s="26" t="str"/>
      <x:c r="C11" s="26" t="str"/>
      <x:c r="D11" s="26" t="str"/>
      <x:c r="E11" s="26" t="str"/>
    </x:row>
    <x:row r="12">
      <x:c r="A12" s="26" t="str">
        <x:v>Required grains</x:v>
      </x:c>
      <x:c r="B12" s="26" t="str"/>
      <x:c r="C12" s="26" t="str"/>
      <x:c r="D12" s="26" t="str"/>
      <x:c r="E12" s="26" t="str"/>
    </x:row>
    <x:row r="13">
      <x:c r="A13" s="26" t="str">
        <x:v>Deadline / action constraints</x:v>
      </x:c>
      <x:c r="B13" s="26" t="str"/>
      <x:c r="C13" s="26" t="str"/>
      <x:c r="D13" s="26" t="str"/>
      <x:c r="E13" s="26" t="str"/>
    </x:row>
    <x:row r="14">
      <x:c r="A14" s="26" t="str">
        <x:v>Final acceptance criteria</x:v>
      </x:c>
      <x:c r="B14" s="26" t="str"/>
      <x:c r="C14" s="26" t="str"/>
      <x:c r="D14" s="26" t="str"/>
      <x:c r="E14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25" hidden="0" customWidth="1"/>
    <x:col min="5" max="5" width="35" hidden="0" customWidth="1"/>
    <x:col min="6" max="6" width="35" hidden="0" customWidth="1"/>
    <x:col min="7" max="7" width="40" hidden="0" customWidth="1"/>
    <x:col min="8" max="8" width="35" hidden="0" customWidth="1"/>
    <x:col min="9" max="9" width="18" hidden="0" customWidth="1"/>
  </x:cols>
  <x:sheetData>
    <x:row r="1" ht="26" customHeight="1">
      <x:c r="A1" s="4" t="str">
        <x:v>CAP2 - Source / Grain / Quality Inventory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Source</x:v>
      </x:c>
      <x:c r="B3" s="22" t="str">
        <x:v>Business process</x:v>
      </x:c>
      <x:c r="C3" s="22" t="str">
        <x:v>One-row grain</x:v>
      </x:c>
      <x:c r="D3" s="22" t="str">
        <x:v>Key</x:v>
      </x:c>
      <x:c r="E3" s="22" t="str">
        <x:v>Raw control</x:v>
      </x:c>
      <x:c r="F3" s="22" t="str">
        <x:v>Quality finding</x:v>
      </x:c>
      <x:c r="G3" s="22" t="str">
        <x:v>Required questions</x:v>
      </x:c>
      <x:c r="H3" s="22" t="str">
        <x:v>Do not join directly to</x:v>
      </x:c>
      <x:c r="I3" s="22" t="str">
        <x:v>Evidence ID</x:v>
      </x:c>
    </x:row>
    <x:row r="4">
      <x:c r="A4" s="26" t="str">
        <x:v>sales_lines.csv</x:v>
      </x:c>
      <x:c r="B4" s="26" t="str">
        <x:v>Sales</x:v>
      </x:c>
      <x:c r="C4" s="26" t="str">
        <x:v>one invoice line</x:v>
      </x:c>
      <x:c r="D4" s="26" t="str">
        <x:v>line_id</x:v>
      </x:c>
      <x:c r="E4" s="26" t="str">
        <x:v>576 rows; revenue 1,923,183; cost 868,250</x:v>
      </x:c>
      <x:c r="F4" s="26" t="str"/>
      <x:c r="G4" s="26" t="str">
        <x:v>Revenue, margin, product/customer analysis</x:v>
      </x:c>
      <x:c r="H4" s="26" t="str">
        <x:v>Marketing/Targets/Health/Support raw facts</x:v>
      </x:c>
      <x:c r="I4" s="26" t="str"/>
    </x:row>
    <x:row r="5">
      <x:c r="A5" s="26" t="str">
        <x:v>customers.csv</x:v>
      </x:c>
      <x:c r="B5" s="26" t="str">
        <x:v>Customer dimension</x:v>
      </x:c>
      <x:c r="C5" s="26" t="str">
        <x:v>one customer</x:v>
      </x:c>
      <x:c r="D5" s="26" t="str">
        <x:v>customer_id</x:v>
      </x:c>
      <x:c r="E5" s="26" t="str">
        <x:v>60 rows</x:v>
      </x:c>
      <x:c r="F5" s="26" t="str"/>
      <x:c r="G5" s="26" t="str">
        <x:v>Customer/region/segment context</x:v>
      </x:c>
      <x:c r="H5" s="26" t="str">
        <x:v>N/A after key check</x:v>
      </x:c>
      <x:c r="I5" s="26" t="str"/>
    </x:row>
    <x:row r="6">
      <x:c r="A6" s="26" t="str">
        <x:v>products.csv</x:v>
      </x:c>
      <x:c r="B6" s="26" t="str">
        <x:v>Product dimension</x:v>
      </x:c>
      <x:c r="C6" s="26" t="str">
        <x:v>one product</x:v>
      </x:c>
      <x:c r="D6" s="26" t="str">
        <x:v>product_id</x:v>
      </x:c>
      <x:c r="E6" s="26" t="str"/>
      <x:c r="F6" s="26" t="str"/>
      <x:c r="G6" s="26" t="str">
        <x:v>Product/category context</x:v>
      </x:c>
      <x:c r="H6" s="26" t="str">
        <x:v>N/A after key check</x:v>
      </x:c>
      <x:c r="I6" s="26" t="str"/>
    </x:row>
    <x:row r="7">
      <x:c r="A7" s="26" t="str">
        <x:v>marketing_spend.csv</x:v>
      </x:c>
      <x:c r="B7" s="26" t="str">
        <x:v>Marketing spend</x:v>
      </x:c>
      <x:c r="C7" s="26" t="str">
        <x:v>Month-Region-Channel</x:v>
      </x:c>
      <x:c r="D7" s="26" t="str">
        <x:v>month+region+channel</x:v>
      </x:c>
      <x:c r="E7" s="26" t="str">
        <x:v>216 rows; spend 13,068,135</x:v>
      </x:c>
      <x:c r="F7" s="26" t="str"/>
      <x:c r="G7" s="26" t="str">
        <x:v>Acquisition efficiency</x:v>
      </x:c>
      <x:c r="H7" s="26" t="str">
        <x:v>Sales line grain</x:v>
      </x:c>
      <x:c r="I7" s="26" t="str"/>
    </x:row>
    <x:row r="8">
      <x:c r="A8" s="26" t="str">
        <x:v>regional_targets.csv</x:v>
      </x:c>
      <x:c r="B8" s="26" t="str">
        <x:v>Management target</x:v>
      </x:c>
      <x:c r="C8" s="26" t="str">
        <x:v>Month-Region</x:v>
      </x:c>
      <x:c r="D8" s="26" t="str">
        <x:v>month+region</x:v>
      </x:c>
      <x:c r="E8" s="26" t="str">
        <x:v>72 rows; targets 16,758,000</x:v>
      </x:c>
      <x:c r="F8" s="26" t="str"/>
      <x:c r="G8" s="26" t="str">
        <x:v>Target attainment</x:v>
      </x:c>
      <x:c r="H8" s="26" t="str">
        <x:v>Sales line grain</x:v>
      </x:c>
      <x:c r="I8" s="26" t="str"/>
    </x:row>
    <x:row r="9">
      <x:c r="A9" s="26" t="str">
        <x:v>customer_health.json</x:v>
      </x:c>
      <x:c r="B9" s="26" t="str">
        <x:v>Customer health snapshot</x:v>
      </x:c>
      <x:c r="C9" s="26" t="str">
        <x:v>Customer-Month</x:v>
      </x:c>
      <x:c r="D9" s="26" t="str">
        <x:v>month+customer_id</x:v>
      </x:c>
      <x:c r="E9" s="26" t="str">
        <x:v>1080 objects</x:v>
      </x:c>
      <x:c r="F9" s="26" t="str"/>
      <x:c r="G9" s="26" t="str">
        <x:v>Health trend/segment risk</x:v>
      </x:c>
      <x:c r="H9" s="26" t="str">
        <x:v>Sales line grain</x:v>
      </x:c>
      <x:c r="I9" s="26" t="str"/>
    </x:row>
    <x:row r="10">
      <x:c r="A10" s="26" t="str">
        <x:v>support_tickets.csv</x:v>
      </x:c>
      <x:c r="B10" s="26" t="str">
        <x:v>Support cases</x:v>
      </x:c>
      <x:c r="C10" s="26" t="str">
        <x:v>one ticket</x:v>
      </x:c>
      <x:c r="D10" s="26" t="str">
        <x:v>ticket_id</x:v>
      </x:c>
      <x:c r="E10" s="26" t="str">
        <x:v>271 raw / 270 unique IDs</x:v>
      </x:c>
      <x:c r="F10" s="26" t="str">
        <x:v>1 exact duplicate + 1 missing priority</x:v>
      </x:c>
      <x:c r="G10" s="26" t="str">
        <x:v>Service pressure</x:v>
      </x:c>
      <x:c r="H10" s="26" t="str">
        <x:v>Sales/Health raw facts</x:v>
      </x:c>
      <x:c r="I10" s="26" t="str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</x:cols>
  <x:sheetData>
    <x:row r="1" ht="26" customHeight="1">
      <x:c r="A1" s="4" t="str">
        <x:v>CAP3 - SQL - Extract</x:v>
      </x:c>
      <x:c r="B1" s="4"/>
      <x:c r="C1" s="4"/>
      <x:c r="D1" s="4"/>
      <x:c r="E1" s="4"/>
      <x:c r="F1" s="4"/>
      <x:c r="G1" s="4"/>
    </x:row>
    <x:row r="3">
      <x:c r="A3" s="22" t="str">
        <x:v>Extract/question</x:v>
      </x:c>
      <x:c r="B3" s="22" t="str">
        <x:v>Declared output grain</x:v>
      </x:c>
      <x:c r="C3" s="22" t="str">
        <x:v>SQL/query artifact</x:v>
      </x:c>
      <x:c r="D3" s="22" t="str">
        <x:v>Independent control</x:v>
      </x:c>
      <x:c r="E3" s="22" t="str">
        <x:v>Observed result</x:v>
      </x:c>
      <x:c r="F3" s="22" t="str">
        <x:v>Pass?</x:v>
      </x:c>
      <x:c r="G3" s="22" t="str">
        <x:v>Evidence ID</x:v>
      </x:c>
    </x:row>
    <x:row r="4">
      <x:c r="A4" s="26" t="str">
        <x:v>Revenue/margin trend</x:v>
      </x:c>
      <x:c r="B4" s="26" t="str"/>
      <x:c r="C4" s="26" t="str"/>
      <x:c r="D4" s="26" t="str"/>
      <x:c r="E4" s="26" t="str"/>
      <x:c r="F4" s="26" t="str"/>
      <x:c r="G4" s="26" t="str"/>
    </x:row>
    <x:row r="5">
      <x:c r="A5" s="26" t="str">
        <x:v>Target attainment</x:v>
      </x:c>
      <x:c r="B5" s="26" t="str"/>
      <x:c r="C5" s="26" t="str"/>
      <x:c r="D5" s="26" t="str"/>
      <x:c r="E5" s="26" t="str"/>
      <x:c r="F5" s="26" t="str"/>
      <x:c r="G5" s="26" t="str"/>
    </x:row>
    <x:row r="6">
      <x:c r="A6" s="26" t="str">
        <x:v>Customer health</x:v>
      </x:c>
      <x:c r="B6" s="26" t="str"/>
      <x:c r="C6" s="26" t="str"/>
      <x:c r="D6" s="26" t="str"/>
      <x:c r="E6" s="26" t="str"/>
      <x:c r="F6" s="26" t="str"/>
      <x:c r="G6" s="26" t="str"/>
    </x:row>
    <x:row r="7">
      <x:c r="A7" s="26" t="str">
        <x:v>Support pressure</x:v>
      </x:c>
      <x:c r="B7" s="26" t="str"/>
      <x:c r="C7" s="26" t="str"/>
      <x:c r="D7" s="26" t="str"/>
      <x:c r="E7" s="26" t="str"/>
      <x:c r="F7" s="26" t="str"/>
      <x:c r="G7" s="26" t="str"/>
    </x:row>
    <x:row r="8">
      <x:c r="A8" s="26" t="str">
        <x:v>Window/advanced SQL question</x:v>
      </x:c>
      <x:c r="B8" s="26" t="str"/>
      <x:c r="C8" s="26" t="str"/>
      <x:c r="D8" s="26" t="str"/>
      <x:c r="E8" s="26" t="str"/>
      <x:c r="F8" s="26" t="str"/>
      <x:c r="G8" s="26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  <x:col min="8" max="8" width="18" hidden="0" customWidth="1"/>
  </x:cols>
  <x:sheetData>
    <x:row r="1" ht="26" customHeight="1">
      <x:c r="A1" s="4" t="str">
        <x:v>CAP4 - Transform - Log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Input</x:v>
      </x:c>
      <x:c r="B3" s="22" t="str">
        <x:v>Tool chosen</x:v>
      </x:c>
      <x:c r="C3" s="22" t="str">
        <x:v>Transformation</x:v>
      </x:c>
      <x:c r="D3" s="22" t="str">
        <x:v>Why this tool</x:v>
      </x:c>
      <x:c r="E3" s="22" t="str">
        <x:v>Output grain</x:v>
      </x:c>
      <x:c r="F3" s="22" t="str">
        <x:v>Exception/failure behavior</x:v>
      </x:c>
      <x:c r="G3" s="22" t="str">
        <x:v>Validation</x:v>
      </x:c>
      <x:c r="H3" s="22" t="str">
        <x:v>Evidence ID</x:v>
      </x:c>
    </x:row>
    <x:row r="4">
      <x:c r="A4" s="26" t="str">
        <x:v>customer_health.json</x:v>
      </x:c>
      <x:c r="B4" s="26" t="str"/>
      <x:c r="C4" s="26" t="str"/>
      <x:c r="D4" s="26" t="str"/>
      <x:c r="E4" s="26" t="str"/>
      <x:c r="F4" s="26" t="str"/>
      <x:c r="G4" s="26" t="str"/>
      <x:c r="H4" s="26" t="str"/>
    </x:row>
    <x:row r="5">
      <x:c r="A5" s="26" t="str">
        <x:v>support_tickets.csv</x:v>
      </x:c>
      <x:c r="B5" s="26" t="str"/>
      <x:c r="C5" s="26" t="str"/>
      <x:c r="D5" s="26" t="str"/>
      <x:c r="E5" s="26" t="str"/>
      <x:c r="F5" s="26" t="str"/>
      <x:c r="G5" s="26" t="str"/>
      <x:c r="H5" s="26" t="str"/>
    </x:row>
    <x:row r="6">
      <x:c r="A6" s="26" t="str">
        <x:v>sales_lines.csv</x:v>
      </x:c>
      <x:c r="B6" s="26" t="str"/>
      <x:c r="C6" s="26" t="str"/>
      <x:c r="D6" s="26" t="str"/>
      <x:c r="E6" s="26" t="str"/>
      <x:c r="F6" s="26" t="str"/>
      <x:c r="G6" s="26" t="str"/>
      <x:c r="H6" s="26" t="str"/>
    </x:row>
    <x:row r="7">
      <x:c r="A7" s="26" t="str">
        <x:v>marketing_spend.csv</x:v>
      </x:c>
      <x:c r="B7" s="26" t="str"/>
      <x:c r="C7" s="26" t="str"/>
      <x:c r="D7" s="26" t="str"/>
      <x:c r="E7" s="26" t="str"/>
      <x:c r="F7" s="26" t="str"/>
      <x:c r="G7" s="26" t="str"/>
      <x:c r="H7" s="26" t="str"/>
    </x:row>
    <x:row r="8">
      <x:c r="A8" s="26" t="str">
        <x:v>regional_targets.csv</x:v>
      </x:c>
      <x:c r="B8" s="26" t="str"/>
      <x:c r="C8" s="26" t="str"/>
      <x:c r="D8" s="26" t="str"/>
      <x:c r="E8" s="26" t="str"/>
      <x:c r="F8" s="26" t="str"/>
      <x:c r="G8" s="26" t="str"/>
      <x:c r="H8" s="26" t="str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  <x:col min="8" max="8" width="18" hidden="0" customWidth="1"/>
  </x:cols>
  <x:sheetData>
    <x:row r="1" ht="26" customHeight="1">
      <x:c r="A1" s="4" t="str">
        <x:v>CAP5 - Model - Register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Object</x:v>
      </x:c>
      <x:c r="B3" s="22" t="str">
        <x:v>Fact/Dimension</x:v>
      </x:c>
      <x:c r="C3" s="22" t="str">
        <x:v>One-row grain</x:v>
      </x:c>
      <x:c r="D3" s="22" t="str">
        <x:v>Business key/FK</x:v>
      </x:c>
      <x:c r="E3" s="22" t="str">
        <x:v>Date role</x:v>
      </x:c>
      <x:c r="F3" s="22" t="str">
        <x:v>Relationship/filter rule</x:v>
      </x:c>
      <x:c r="G3" s="22" t="str">
        <x:v>Validation</x:v>
      </x:c>
      <x:c r="H3" s="22" t="str">
        <x:v>Evidence ID</x:v>
      </x:c>
    </x:row>
    <x:row r="4">
      <x:c r="A4" s="26" t="str">
        <x:v>DimCustomer</x:v>
      </x:c>
      <x:c r="B4" s="26" t="str"/>
      <x:c r="C4" s="26" t="str"/>
      <x:c r="D4" s="26" t="str"/>
      <x:c r="E4" s="26" t="str"/>
      <x:c r="F4" s="26" t="str"/>
      <x:c r="G4" s="26" t="str"/>
      <x:c r="H4" s="26" t="str"/>
    </x:row>
    <x:row r="5">
      <x:c r="A5" s="26" t="str">
        <x:v>DimProduct</x:v>
      </x:c>
      <x:c r="B5" s="26" t="str"/>
      <x:c r="C5" s="26" t="str"/>
      <x:c r="D5" s="26" t="str"/>
      <x:c r="E5" s="26" t="str"/>
      <x:c r="F5" s="26" t="str"/>
      <x:c r="G5" s="26" t="str"/>
      <x:c r="H5" s="26" t="str"/>
    </x:row>
    <x:row r="6">
      <x:c r="A6" s="26" t="str">
        <x:v>DimDate</x:v>
      </x:c>
      <x:c r="B6" s="26" t="str"/>
      <x:c r="C6" s="26" t="str"/>
      <x:c r="D6" s="26" t="str"/>
      <x:c r="E6" s="26" t="str"/>
      <x:c r="F6" s="26" t="str"/>
      <x:c r="G6" s="26" t="str"/>
      <x:c r="H6" s="26" t="str"/>
    </x:row>
    <x:row r="7">
      <x:c r="A7" s="26" t="str">
        <x:v>FactSales</x:v>
      </x:c>
      <x:c r="B7" s="26" t="str"/>
      <x:c r="C7" s="26" t="str"/>
      <x:c r="D7" s="26" t="str"/>
      <x:c r="E7" s="26" t="str"/>
      <x:c r="F7" s="26" t="str"/>
      <x:c r="G7" s="26" t="str"/>
      <x:c r="H7" s="26" t="str"/>
    </x:row>
    <x:row r="8">
      <x:c r="A8" s="26" t="str">
        <x:v>FactMarketing</x:v>
      </x:c>
      <x:c r="B8" s="26" t="str"/>
      <x:c r="C8" s="26" t="str"/>
      <x:c r="D8" s="26" t="str"/>
      <x:c r="E8" s="26" t="str"/>
      <x:c r="F8" s="26" t="str"/>
      <x:c r="G8" s="26" t="str"/>
      <x:c r="H8" s="26" t="str"/>
    </x:row>
    <x:row r="9">
      <x:c r="A9" s="26" t="str">
        <x:v>FactTarget</x:v>
      </x:c>
      <x:c r="B9" s="26" t="str"/>
      <x:c r="C9" s="26" t="str"/>
      <x:c r="D9" s="26" t="str"/>
      <x:c r="E9" s="26" t="str"/>
      <x:c r="F9" s="26" t="str"/>
      <x:c r="G9" s="26" t="str"/>
      <x:c r="H9" s="26" t="str"/>
    </x:row>
    <x:row r="10">
      <x:c r="A10" s="26" t="str">
        <x:v>FactCustomerHealth</x:v>
      </x:c>
      <x:c r="B10" s="26" t="str"/>
      <x:c r="C10" s="26" t="str"/>
      <x:c r="D10" s="26" t="str"/>
      <x:c r="E10" s="26" t="str"/>
      <x:c r="F10" s="26" t="str"/>
      <x:c r="G10" s="26" t="str"/>
      <x:c r="H10" s="26" t="str"/>
    </x:row>
    <x:row r="11">
      <x:c r="A11" s="26" t="str">
        <x:v>FactSupport</x:v>
      </x:c>
      <x:c r="B11" s="26" t="str"/>
      <x:c r="C11" s="26" t="str"/>
      <x:c r="D11" s="26" t="str"/>
      <x:c r="E11" s="26" t="str"/>
      <x:c r="F11" s="26" t="str"/>
      <x:c r="G11" s="26" t="str"/>
      <x:c r="H11" s="26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</x:cols>
  <x:sheetData>
    <x:row r="1" ht="26" customHeight="1">
      <x:c r="A1" s="4" t="str">
        <x:v>CAP5 - Measure - Contracts</x:v>
      </x:c>
      <x:c r="B1" s="4"/>
      <x:c r="C1" s="4"/>
      <x:c r="D1" s="4"/>
      <x:c r="E1" s="4"/>
      <x:c r="F1" s="4"/>
      <x:c r="G1" s="4"/>
    </x:row>
    <x:row r="3">
      <x:c r="A3" s="22" t="str">
        <x:v>Measure</x:v>
      </x:c>
      <x:c r="B3" s="22" t="str">
        <x:v>Business definition</x:v>
      </x:c>
      <x:c r="C3" s="22" t="str">
        <x:v>Numerator / expression</x:v>
      </x:c>
      <x:c r="D3" s="22" t="str">
        <x:v>Denominator if any</x:v>
      </x:c>
      <x:c r="E3" s="22" t="str">
        <x:v>Filter/date behavior</x:v>
      </x:c>
      <x:c r="F3" s="22" t="str">
        <x:v>Independent expected check</x:v>
      </x:c>
      <x:c r="G3" s="22" t="str">
        <x:v>Owner/status</x:v>
      </x:c>
    </x:row>
    <x:row r="4">
      <x:c r="A4" s="26" t="str">
        <x:v>Total Revenue</x:v>
      </x:c>
      <x:c r="B4" s="26" t="str"/>
      <x:c r="C4" s="26" t="str"/>
      <x:c r="D4" s="26" t="str"/>
      <x:c r="E4" s="26" t="str"/>
      <x:c r="F4" s="26" t="str"/>
      <x:c r="G4" s="26" t="str"/>
    </x:row>
    <x:row r="5">
      <x:c r="A5" s="26" t="str">
        <x:v>Gross Margin</x:v>
      </x:c>
      <x:c r="B5" s="26" t="str"/>
      <x:c r="C5" s="26" t="str"/>
      <x:c r="D5" s="26" t="str"/>
      <x:c r="E5" s="26" t="str"/>
      <x:c r="F5" s="26" t="str"/>
      <x:c r="G5" s="26" t="str"/>
    </x:row>
    <x:row r="6">
      <x:c r="A6" s="26" t="str">
        <x:v>Gross Margin %</x:v>
      </x:c>
      <x:c r="B6" s="26" t="str"/>
      <x:c r="C6" s="26" t="str"/>
      <x:c r="D6" s="26" t="str"/>
      <x:c r="E6" s="26" t="str"/>
      <x:c r="F6" s="26" t="str"/>
      <x:c r="G6" s="26" t="str"/>
    </x:row>
    <x:row r="7">
      <x:c r="A7" s="26" t="str">
        <x:v>Target Attainment</x:v>
      </x:c>
      <x:c r="B7" s="26" t="str"/>
      <x:c r="C7" s="26" t="str"/>
      <x:c r="D7" s="26" t="str"/>
      <x:c r="E7" s="26" t="str"/>
      <x:c r="F7" s="26" t="str"/>
      <x:c r="G7" s="26" t="str"/>
    </x:row>
    <x:row r="8">
      <x:c r="A8" s="26" t="str">
        <x:v>Acquisition Efficiency</x:v>
      </x:c>
      <x:c r="B8" s="26" t="str"/>
      <x:c r="C8" s="26" t="str"/>
      <x:c r="D8" s="26" t="str"/>
      <x:c r="E8" s="26" t="str"/>
      <x:c r="F8" s="26" t="str"/>
      <x:c r="G8" s="26" t="str"/>
    </x:row>
    <x:row r="9">
      <x:c r="A9" s="26" t="str">
        <x:v>Health KPI</x:v>
      </x:c>
      <x:c r="B9" s="26" t="str"/>
      <x:c r="C9" s="26" t="str"/>
      <x:c r="D9" s="26" t="str"/>
      <x:c r="E9" s="26" t="str"/>
      <x:c r="F9" s="26" t="str"/>
      <x:c r="G9" s="26" t="str"/>
    </x:row>
    <x:row r="10">
      <x:c r="A10" s="26" t="str">
        <x:v>Support KPI</x:v>
      </x:c>
      <x:c r="B10" s="26" t="str"/>
      <x:c r="C10" s="26" t="str"/>
      <x:c r="D10" s="26" t="str"/>
      <x:c r="E10" s="26" t="str"/>
      <x:c r="F10" s="26" t="str"/>
      <x:c r="G10" s="26" t="str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</x:cols>
  <x:sheetData>
    <x:row r="1" ht="26" customHeight="1">
      <x:c r="A1" s="4" t="str">
        <x:v>CAP6 - OIR - Analysis</x:v>
      </x:c>
      <x:c r="B1" s="4"/>
      <x:c r="C1" s="4"/>
      <x:c r="D1" s="4"/>
      <x:c r="E1" s="4"/>
      <x:c r="F1" s="4"/>
      <x:c r="G1" s="4"/>
    </x:row>
    <x:row r="3">
      <x:c r="A3" s="22" t="str">
        <x:v>Claim / question</x:v>
      </x:c>
      <x:c r="B3" s="22" t="str">
        <x:v>O / I / R</x:v>
      </x:c>
      <x:c r="C3" s="22" t="str">
        <x:v>Evidence / metric</x:v>
      </x:c>
      <x:c r="D3" s="22" t="str">
        <x:v>Comparison/segment</x:v>
      </x:c>
      <x:c r="E3" s="22" t="str">
        <x:v>Alternative explanation</x:v>
      </x:c>
      <x:c r="F3" s="22" t="str">
        <x:v>Confidence/limitation</x:v>
      </x:c>
      <x:c r="G3" s="22" t="str">
        <x:v>Next test/action</x:v>
      </x:c>
    </x:row>
    <x:row r="4">
      <x:c r="A4" s="26" t="str">
        <x:v>Growth quality headline</x:v>
      </x:c>
      <x:c r="B4" s="26" t="str"/>
      <x:c r="C4" s="26" t="str"/>
      <x:c r="D4" s="26" t="str"/>
      <x:c r="E4" s="26" t="str"/>
      <x:c r="F4" s="26" t="str"/>
      <x:c r="G4" s="26" t="str"/>
    </x:row>
    <x:row r="5">
      <x:c r="A5" s="26" t="str">
        <x:v>West marketing pattern</x:v>
      </x:c>
      <x:c r="B5" s="26" t="str"/>
      <x:c r="C5" s="26" t="str"/>
      <x:c r="D5" s="26" t="str"/>
      <x:c r="E5" s="26" t="str"/>
      <x:c r="F5" s="26" t="str"/>
      <x:c r="G5" s="26" t="str"/>
    </x:row>
    <x:row r="6">
      <x:c r="A6" s="26" t="str">
        <x:v>Customer health pattern</x:v>
      </x:c>
      <x:c r="B6" s="26" t="str"/>
      <x:c r="C6" s="26" t="str"/>
      <x:c r="D6" s="26" t="str"/>
      <x:c r="E6" s="26" t="str"/>
      <x:c r="F6" s="26" t="str"/>
      <x:c r="G6" s="26" t="str"/>
    </x:row>
    <x:row r="7">
      <x:c r="A7" s="26" t="str">
        <x:v>Support pressure pattern</x:v>
      </x:c>
      <x:c r="B7" s="26" t="str"/>
      <x:c r="C7" s="26" t="str"/>
      <x:c r="D7" s="26" t="str"/>
      <x:c r="E7" s="26" t="str"/>
      <x:c r="F7" s="26" t="str"/>
      <x:c r="G7" s="26" t="str"/>
    </x:row>
    <x:row r="8">
      <x:c r="A8" s="26" t="str">
        <x:v>Healthy region/segment</x:v>
      </x:c>
      <x:c r="B8" s="26" t="str"/>
      <x:c r="C8" s="26" t="str"/>
      <x:c r="D8" s="26" t="str"/>
      <x:c r="E8" s="26" t="str"/>
      <x:c r="F8" s="26" t="str"/>
      <x:c r="G8" s="26" t="str"/>
    </x:row>
    <x:row r="9">
      <x:c r="A9" s="26" t="str">
        <x:v>Fragile region/segment</x:v>
      </x:c>
      <x:c r="B9" s="26" t="str"/>
      <x:c r="C9" s="26" t="str"/>
      <x:c r="D9" s="26" t="str"/>
      <x:c r="E9" s="26" t="str"/>
      <x:c r="F9" s="26" t="str"/>
      <x:c r="G9" s="26" t="str"/>
    </x:row>
    <x:row r="10">
      <x:c r="A10" s="26" t="str">
        <x:v>Primary recommendation hypothesis</x:v>
      </x:c>
      <x:c r="B10" s="26" t="str"/>
      <x:c r="C10" s="26" t="str"/>
      <x:c r="D10" s="26" t="str"/>
      <x:c r="E10" s="26" t="str"/>
      <x:c r="F10" s="26" t="str"/>
      <x:c r="G10" s="26" t="str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</x:cols>
  <x:sheetData>
    <x:row r="1" ht="26" customHeight="1">
      <x:c r="A1" s="4" t="str">
        <x:v>CAP7 - Report - QA</x:v>
      </x:c>
      <x:c r="B1" s="4"/>
      <x:c r="C1" s="4"/>
      <x:c r="D1" s="4"/>
      <x:c r="E1" s="4"/>
      <x:c r="F1" s="4"/>
      <x:c r="G1" s="4"/>
    </x:row>
    <x:row r="3">
      <x:c r="A3" s="22" t="str">
        <x:v>Report element</x:v>
      </x:c>
      <x:c r="B3" s="22" t="str">
        <x:v>Decision/question</x:v>
      </x:c>
      <x:c r="C3" s="22" t="str">
        <x:v>Visual/page design</x:v>
      </x:c>
      <x:c r="D3" s="22" t="str">
        <x:v>Interaction/filter test</x:v>
      </x:c>
      <x:c r="E3" s="22" t="str">
        <x:v>Accessibility/mobile</x:v>
      </x:c>
      <x:c r="F3" s="22" t="str">
        <x:v>Security/freshness assumption</x:v>
      </x:c>
      <x:c r="G3" s="22" t="str">
        <x:v>Validation</x:v>
      </x:c>
    </x:row>
    <x:row r="4">
      <x:c r="A4" s="26" t="str">
        <x:v>Executive KPI layer</x:v>
      </x:c>
      <x:c r="B4" s="26" t="str"/>
      <x:c r="C4" s="26" t="str"/>
      <x:c r="D4" s="26" t="str"/>
      <x:c r="E4" s="26" t="str"/>
      <x:c r="F4" s="26" t="str"/>
      <x:c r="G4" s="26" t="str"/>
    </x:row>
    <x:row r="5">
      <x:c r="A5" s="26" t="str">
        <x:v>Trend</x:v>
      </x:c>
      <x:c r="B5" s="26" t="str"/>
      <x:c r="C5" s="26" t="str"/>
      <x:c r="D5" s="26" t="str"/>
      <x:c r="E5" s="26" t="str"/>
      <x:c r="F5" s="26" t="str"/>
      <x:c r="G5" s="26" t="str"/>
    </x:row>
    <x:row r="6">
      <x:c r="A6" s="26" t="str">
        <x:v>Driver/segment</x:v>
      </x:c>
      <x:c r="B6" s="26" t="str"/>
      <x:c r="C6" s="26" t="str"/>
      <x:c r="D6" s="26" t="str"/>
      <x:c r="E6" s="26" t="str"/>
      <x:c r="F6" s="26" t="str"/>
      <x:c r="G6" s="26" t="str"/>
    </x:row>
    <x:row r="7">
      <x:c r="A7" s="26" t="str">
        <x:v>Customer/service risk</x:v>
      </x:c>
      <x:c r="B7" s="26" t="str"/>
      <x:c r="C7" s="26" t="str"/>
      <x:c r="D7" s="26" t="str"/>
      <x:c r="E7" s="26" t="str"/>
      <x:c r="F7" s="26" t="str"/>
      <x:c r="G7" s="26" t="str"/>
    </x:row>
    <x:row r="8">
      <x:c r="A8" s="26" t="str">
        <x:v>Exception/action</x:v>
      </x:c>
      <x:c r="B8" s="26" t="str"/>
      <x:c r="C8" s="26" t="str"/>
      <x:c r="D8" s="26" t="str"/>
      <x:c r="E8" s="26" t="str"/>
      <x:c r="F8" s="26" t="str"/>
      <x:c r="G8" s="26" t="str"/>
    </x:row>
    <x:row r="9">
      <x:c r="A9" s="26" t="str">
        <x:v>Navigation/filter</x:v>
      </x:c>
      <x:c r="B9" s="26" t="str"/>
      <x:c r="C9" s="26" t="str"/>
      <x:c r="D9" s="26" t="str"/>
      <x:c r="E9" s="26" t="str"/>
      <x:c r="F9" s="26" t="str"/>
      <x:c r="G9" s="26" t="str"/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  <x:col min="7" max="7" width="34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CAP8 - Validation -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Check ID</x:v>
      </x:c>
      <x:c r="B3" s="22" t="str">
        <x:v>Layer</x:v>
      </x:c>
      <x:c r="C3" s="22" t="str">
        <x:v>Check</x:v>
      </x:c>
      <x:c r="D3" s="22" t="str">
        <x:v>Rule/expected</x:v>
      </x:c>
      <x:c r="E3" s="22" t="str">
        <x:v>Observed</x:v>
      </x:c>
      <x:c r="F3" s="22" t="str">
        <x:v>Status</x:v>
      </x:c>
      <x:c r="G3" s="22" t="str">
        <x:v>Severity</x:v>
      </x:c>
      <x:c r="H3" s="22" t="str">
        <x:v>Owner/action</x:v>
      </x:c>
      <x:c r="I3" s="22" t="str">
        <x:v>Evidence ID</x:v>
      </x:c>
    </x:row>
    <x:row r="4">
      <x:c r="A4" s="26" t="str">
        <x:v>V01</x:v>
      </x:c>
      <x:c r="B4" s="26" t="str">
        <x:v>Raw</x:v>
      </x:c>
      <x:c r="C4" s="26" t="str">
        <x:v>Sales row count</x:v>
      </x:c>
      <x:c r="D4" s="26" t="str">
        <x:v>576</x:v>
      </x:c>
      <x:c r="E4" s="26" t="str"/>
      <x:c r="F4" s="26" t="str">
        <x:v>NOT RUN</x:v>
      </x:c>
      <x:c r="G4" s="26" t="str">
        <x:v>CRITICAL</x:v>
      </x:c>
      <x:c r="H4" s="26" t="str"/>
      <x:c r="I4" s="26" t="str"/>
    </x:row>
    <x:row r="5">
      <x:c r="A5" s="26" t="str">
        <x:v>V02</x:v>
      </x:c>
      <x:c r="B5" s="26" t="str">
        <x:v>Raw</x:v>
      </x:c>
      <x:c r="C5" s="26" t="str">
        <x:v>Sales net revenue</x:v>
      </x:c>
      <x:c r="D5" s="26" t="str">
        <x:v>1923183</x:v>
      </x:c>
      <x:c r="E5" s="26" t="str"/>
      <x:c r="F5" s="26" t="str">
        <x:v>NOT RUN</x:v>
      </x:c>
      <x:c r="G5" s="26" t="str">
        <x:v>CRITICAL</x:v>
      </x:c>
      <x:c r="H5" s="26" t="str"/>
      <x:c r="I5" s="26" t="str"/>
    </x:row>
    <x:row r="6">
      <x:c r="A6" s="26" t="str">
        <x:v>V03</x:v>
      </x:c>
      <x:c r="B6" s="26" t="str">
        <x:v>Raw</x:v>
      </x:c>
      <x:c r="C6" s="26" t="str">
        <x:v>Sales cost</x:v>
      </x:c>
      <x:c r="D6" s="26" t="str">
        <x:v>868250</x:v>
      </x:c>
      <x:c r="E6" s="26" t="str"/>
      <x:c r="F6" s="26" t="str">
        <x:v>NOT RUN</x:v>
      </x:c>
      <x:c r="G6" s="26" t="str">
        <x:v>CRITICAL</x:v>
      </x:c>
      <x:c r="H6" s="26" t="str"/>
      <x:c r="I6" s="26" t="str"/>
    </x:row>
    <x:row r="7">
      <x:c r="A7" s="26" t="str">
        <x:v>V04</x:v>
      </x:c>
      <x:c r="B7" s="26" t="str">
        <x:v>Raw</x:v>
      </x:c>
      <x:c r="C7" s="26" t="str">
        <x:v>Sales gross margin</x:v>
      </x:c>
      <x:c r="D7" s="26" t="str">
        <x:v>1054933</x:v>
      </x:c>
      <x:c r="E7" s="26" t="str"/>
      <x:c r="F7" s="26" t="str">
        <x:v>NOT RUN</x:v>
      </x:c>
      <x:c r="G7" s="26" t="str">
        <x:v>CRITICAL</x:v>
      </x:c>
      <x:c r="H7" s="26" t="str"/>
      <x:c r="I7" s="26" t="str"/>
    </x:row>
    <x:row r="8">
      <x:c r="A8" s="26" t="str">
        <x:v>V05</x:v>
      </x:c>
      <x:c r="B8" s="26" t="str">
        <x:v>Raw</x:v>
      </x:c>
      <x:c r="C8" s="26" t="str">
        <x:v>Support raw/unique</x:v>
      </x:c>
      <x:c r="D8" s="26" t="str">
        <x:v>271 / 270</x:v>
      </x:c>
      <x:c r="E8" s="26" t="str"/>
      <x:c r="F8" s="26" t="str">
        <x:v>NOT RUN</x:v>
      </x:c>
      <x:c r="G8" s="26" t="str">
        <x:v>HIGH</x:v>
      </x:c>
      <x:c r="H8" s="26" t="str"/>
      <x:c r="I8" s="26" t="str"/>
    </x:row>
    <x:row r="9">
      <x:c r="A9" s="26" t="str">
        <x:v>V06</x:v>
      </x:c>
      <x:c r="B9" s="26" t="str">
        <x:v>Raw</x:v>
      </x:c>
      <x:c r="C9" s="26" t="str">
        <x:v>Support missing priority</x:v>
      </x:c>
      <x:c r="D9" s="26" t="str">
        <x:v>1</x:v>
      </x:c>
      <x:c r="E9" s="26" t="str"/>
      <x:c r="F9" s="26" t="str">
        <x:v>NOT RUN</x:v>
      </x:c>
      <x:c r="G9" s="26" t="str">
        <x:v>HIGH</x:v>
      </x:c>
      <x:c r="H9" s="26" t="str"/>
      <x:c r="I9" s="26" t="str"/>
    </x:row>
    <x:row r="10">
      <x:c r="A10" s="26" t="str">
        <x:v>V07</x:v>
      </x:c>
      <x:c r="B10" s="26" t="str">
        <x:v>Model</x:v>
      </x:c>
      <x:c r="C10" s="26" t="str">
        <x:v>Dimension keys unique</x:v>
      </x:c>
      <x:c r="D10" s="26" t="str">
        <x:v>All governed dimensions</x:v>
      </x:c>
      <x:c r="E10" s="26" t="str"/>
      <x:c r="F10" s="26" t="str">
        <x:v>NOT RUN</x:v>
      </x:c>
      <x:c r="G10" s="26" t="str">
        <x:v>CRITICAL</x:v>
      </x:c>
      <x:c r="H10" s="26" t="str"/>
      <x:c r="I10" s="26" t="str"/>
    </x:row>
    <x:row r="11">
      <x:c r="A11" s="26" t="str">
        <x:v>V08</x:v>
      </x:c>
      <x:c r="B11" s="26" t="str">
        <x:v>Model</x:v>
      </x:c>
      <x:c r="C11" s="26" t="str">
        <x:v>Fact foreign keys resolve</x:v>
      </x:c>
      <x:c r="D11" s="26" t="str">
        <x:v>No unexplained critical orphan</x:v>
      </x:c>
      <x:c r="E11" s="26" t="str"/>
      <x:c r="F11" s="26" t="str">
        <x:v>NOT RUN</x:v>
      </x:c>
      <x:c r="G11" s="26" t="str">
        <x:v>CRITICAL</x:v>
      </x:c>
      <x:c r="H11" s="26" t="str"/>
      <x:c r="I11" s="26" t="str"/>
    </x:row>
    <x:row r="12">
      <x:c r="A12" s="26" t="str">
        <x:v>V09</x:v>
      </x:c>
      <x:c r="B12" s="26" t="str">
        <x:v>Grain</x:v>
      </x:c>
      <x:c r="C12" s="26" t="str">
        <x:v>Targets not multiplied</x:v>
      </x:c>
      <x:c r="D12" s="26" t="str">
        <x:v>Target total 16758000 and unique Month-Region</x:v>
      </x:c>
      <x:c r="E12" s="26" t="str"/>
      <x:c r="F12" s="26" t="str">
        <x:v>NOT RUN</x:v>
      </x:c>
      <x:c r="G12" s="26" t="str">
        <x:v>CRITICAL</x:v>
      </x:c>
      <x:c r="H12" s="26" t="str"/>
      <x:c r="I12" s="26" t="str"/>
    </x:row>
    <x:row r="13">
      <x:c r="A13" s="26" t="str">
        <x:v>V10</x:v>
      </x:c>
      <x:c r="B13" s="26" t="str">
        <x:v>Grain</x:v>
      </x:c>
      <x:c r="C13" s="26" t="str">
        <x:v>Marketing not multiplied</x:v>
      </x:c>
      <x:c r="D13" s="26" t="str">
        <x:v>Spend total 13068135 and unique Month-Region-Channel</x:v>
      </x:c>
      <x:c r="E13" s="26" t="str"/>
      <x:c r="F13" s="26" t="str">
        <x:v>NOT RUN</x:v>
      </x:c>
      <x:c r="G13" s="26" t="str">
        <x:v>CRITICAL</x:v>
      </x:c>
      <x:c r="H13" s="26" t="str"/>
      <x:c r="I13" s="26" t="str"/>
    </x:row>
    <x:row r="14">
      <x:c r="A14" s="26" t="str">
        <x:v>V11</x:v>
      </x:c>
      <x:c r="B14" s="26" t="str">
        <x:v>Report</x:v>
      </x:c>
      <x:c r="C14" s="26" t="str">
        <x:v>Executive Revenue reconciles</x:v>
      </x:c>
      <x:c r="D14" s="26" t="str">
        <x:v>Matches trusted model/extract</x:v>
      </x:c>
      <x:c r="E14" s="26" t="str"/>
      <x:c r="F14" s="26" t="str">
        <x:v>NOT RUN</x:v>
      </x:c>
      <x:c r="G14" s="26" t="str">
        <x:v>CRITICAL</x:v>
      </x:c>
      <x:c r="H14" s="26" t="str"/>
      <x:c r="I14" s="26" t="str"/>
    </x:row>
    <x:row r="15">
      <x:c r="A15" s="26" t="str">
        <x:v>V12</x:v>
      </x:c>
      <x:c r="B15" s="26" t="str">
        <x:v>Report</x:v>
      </x:c>
      <x:c r="C15" s="26" t="str">
        <x:v>Executive Margin reconciles</x:v>
      </x:c>
      <x:c r="D15" s="26" t="str">
        <x:v>Matches trusted model/extract</x:v>
      </x:c>
      <x:c r="E15" s="26" t="str"/>
      <x:c r="F15" s="26" t="str">
        <x:v>NOT RUN</x:v>
      </x:c>
      <x:c r="G15" s="26" t="str">
        <x:v>CRITICAL</x:v>
      </x:c>
      <x:c r="H15" s="26" t="str"/>
      <x:c r="I15" s="26" t="str"/>
    </x:row>
  </x:sheetData>
  <x:mergeCells>
    <x:mergeCell ref="A1:I1"/>
  </x:mergeCells>
  <x:dataValidations count="2">
    <x:dataValidation type="list" sqref="F4:F15">
      <x:formula1>"NOT RUN,PASS,WARN,FAIL"</x:formula1>
    </x:dataValidation>
    <x:dataValidation type="list" sqref="G4:G15">
      <x:formula1>"LOW,MEDIUM,HIGH,CRITICAL"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</x:cols>
  <x:sheetData>
    <x:row r="1" ht="26" customHeight="1">
      <x:c r="A1" s="4" t="str">
        <x:v>CAP9 - Executive - Brief</x:v>
      </x:c>
      <x:c r="B1" s="4"/>
      <x:c r="C1" s="4"/>
      <x:c r="D1" s="4"/>
    </x:row>
    <x:row r="3">
      <x:c r="A3" s="22" t="str">
        <x:v>Element</x:v>
      </x:c>
      <x:c r="B3" s="22" t="str">
        <x:v>&lt;=120 word version</x:v>
      </x:c>
      <x:c r="C3" s="22" t="str">
        <x:v>&lt;=80 word version</x:v>
      </x:c>
      <x:c r="D3" s="22" t="str">
        <x:v>Evidence reference / caveat</x:v>
      </x:c>
    </x:row>
    <x:row r="4">
      <x:c r="A4" s="26" t="str">
        <x:v>Headline / decision</x:v>
      </x:c>
      <x:c r="B4" s="26" t="str"/>
      <x:c r="C4" s="26" t="str"/>
      <x:c r="D4" s="26" t="str"/>
    </x:row>
    <x:row r="5">
      <x:c r="A5" s="26" t="str">
        <x:v>Evidence 1</x:v>
      </x:c>
      <x:c r="B5" s="26" t="str"/>
      <x:c r="C5" s="26" t="str"/>
      <x:c r="D5" s="26" t="str"/>
    </x:row>
    <x:row r="6">
      <x:c r="A6" s="26" t="str">
        <x:v>Evidence 2</x:v>
      </x:c>
      <x:c r="B6" s="26" t="str"/>
      <x:c r="C6" s="26" t="str"/>
      <x:c r="D6" s="26" t="str"/>
    </x:row>
    <x:row r="7">
      <x:c r="A7" s="26" t="str">
        <x:v>Implication</x:v>
      </x:c>
      <x:c r="B7" s="26" t="str"/>
      <x:c r="C7" s="26" t="str"/>
      <x:c r="D7" s="26" t="str"/>
    </x:row>
    <x:row r="8">
      <x:c r="A8" s="26" t="str">
        <x:v>Recommendation / owner / timing</x:v>
      </x:c>
      <x:c r="B8" s="26" t="str"/>
      <x:c r="C8" s="26" t="str"/>
      <x:c r="D8" s="26" t="str"/>
    </x:row>
    <x:row r="9">
      <x:c r="A9" s="26" t="str">
        <x:v>Guardrail / success</x:v>
      </x:c>
      <x:c r="B9" s="26" t="str"/>
      <x:c r="C9" s="26" t="str"/>
      <x:c r="D9" s="26" t="str"/>
    </x:row>
    <x:row r="10">
      <x:c r="A10" s="26" t="str">
        <x:v>Material limitation / next evidence</x:v>
      </x:c>
      <x:c r="B10" s="26" t="str"/>
      <x:c r="C10" s="26" t="str"/>
      <x:c r="D10" s="26" t="str"/>
    </x:row>
    <x:row r="11">
      <x:c r="A11" s="26" t="str">
        <x:v>Decision ask</x:v>
      </x:c>
      <x:c r="B11" s="26" t="str"/>
      <x:c r="C11" s="26" t="str"/>
      <x:c r="D11" s="26" t="str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  <x:col min="6" max="6" width="38" hidden="0" customWidth="1"/>
  </x:cols>
  <x:sheetData>
    <x:row r="1" ht="26" customHeight="1">
      <x:c r="A1" s="4" t="str">
        <x:v>CAP10 - Handover - Index</x:v>
      </x:c>
      <x:c r="B1" s="4"/>
      <x:c r="C1" s="4"/>
      <x:c r="D1" s="4"/>
      <x:c r="E1" s="4"/>
      <x:c r="F1" s="4"/>
    </x:row>
    <x:row r="3">
      <x:c r="A3" s="22" t="str">
        <x:v>Artifact / contract</x:v>
      </x:c>
      <x:c r="B3" s="22" t="str">
        <x:v>Path / location</x:v>
      </x:c>
      <x:c r="C3" s="22" t="str">
        <x:v>Purpose</x:v>
      </x:c>
      <x:c r="D3" s="22" t="str">
        <x:v>Owner</x:v>
      </x:c>
      <x:c r="E3" s="22" t="str">
        <x:v>How to rerun / validate</x:v>
      </x:c>
      <x:c r="F3" s="22" t="str">
        <x:v>Known issue / production gap</x:v>
      </x:c>
    </x:row>
    <x:row r="4">
      <x:c r="A4" s="26" t="str">
        <x:v>README</x:v>
      </x:c>
      <x:c r="B4" s="26" t="str"/>
      <x:c r="C4" s="26" t="str"/>
      <x:c r="D4" s="26" t="str"/>
      <x:c r="E4" s="26" t="str"/>
      <x:c r="F4" s="26" t="str"/>
    </x:row>
    <x:row r="5">
      <x:c r="A5" s="26" t="str">
        <x:v>Source/grain dictionary</x:v>
      </x:c>
      <x:c r="B5" s="26" t="str"/>
      <x:c r="C5" s="26" t="str"/>
      <x:c r="D5" s="26" t="str"/>
      <x:c r="E5" s="26" t="str"/>
      <x:c r="F5" s="26" t="str"/>
    </x:row>
    <x:row r="6">
      <x:c r="A6" s="26" t="str">
        <x:v>Metric contracts</x:v>
      </x:c>
      <x:c r="B6" s="26" t="str"/>
      <x:c r="C6" s="26" t="str"/>
      <x:c r="D6" s="26" t="str"/>
      <x:c r="E6" s="26" t="str"/>
      <x:c r="F6" s="26" t="str"/>
    </x:row>
    <x:row r="7">
      <x:c r="A7" s="26" t="str">
        <x:v>SQL / transforms</x:v>
      </x:c>
      <x:c r="B7" s="26" t="str"/>
      <x:c r="C7" s="26" t="str"/>
      <x:c r="D7" s="26" t="str"/>
      <x:c r="E7" s="26" t="str"/>
      <x:c r="F7" s="26" t="str"/>
    </x:row>
    <x:row r="8">
      <x:c r="A8" s="26" t="str">
        <x:v>Model / DAX / PBIX</x:v>
      </x:c>
      <x:c r="B8" s="26" t="str"/>
      <x:c r="C8" s="26" t="str"/>
      <x:c r="D8" s="26" t="str"/>
      <x:c r="E8" s="26" t="str"/>
      <x:c r="F8" s="26" t="str"/>
    </x:row>
    <x:row r="9">
      <x:c r="A9" s="26" t="str">
        <x:v>Validation log</x:v>
      </x:c>
      <x:c r="B9" s="26" t="str"/>
      <x:c r="C9" s="26" t="str"/>
      <x:c r="D9" s="26" t="str"/>
      <x:c r="E9" s="26" t="str"/>
      <x:c r="F9" s="26" t="str"/>
    </x:row>
    <x:row r="10">
      <x:c r="A10" s="26" t="str">
        <x:v>Lineage</x:v>
      </x:c>
      <x:c r="B10" s="26" t="str"/>
      <x:c r="C10" s="26" t="str"/>
      <x:c r="D10" s="26" t="str"/>
      <x:c r="E10" s="26" t="str"/>
      <x:c r="F10" s="26" t="str"/>
    </x:row>
    <x:row r="11">
      <x:c r="A11" s="26" t="str">
        <x:v>Executive brief</x:v>
      </x:c>
      <x:c r="B11" s="26" t="str"/>
      <x:c r="C11" s="26" t="str"/>
      <x:c r="D11" s="26" t="str"/>
      <x:c r="E11" s="26" t="str"/>
      <x:c r="F11" s="26" t="str"/>
    </x:row>
    <x:row r="12">
      <x:c r="A12" s="26" t="str">
        <x:v>Runbook / refresh</x:v>
      </x:c>
      <x:c r="B12" s="26" t="str"/>
      <x:c r="C12" s="26" t="str"/>
      <x:c r="D12" s="26" t="str"/>
      <x:c r="E12" s="26" t="str"/>
      <x:c r="F12" s="26" t="str"/>
    </x:row>
    <x:row r="13">
      <x:c r="A13" s="26" t="str">
        <x:v>Known issues</x:v>
      </x:c>
      <x:c r="B13" s="26" t="str"/>
      <x:c r="C13" s="26" t="str"/>
      <x:c r="D13" s="26" t="str"/>
      <x:c r="E13" s="26" t="str"/>
      <x:c r="F13" s="26" t="str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5" hidden="0" customWidth="1"/>
    <x:col min="5" max="5" width="31" hidden="0" customWidth="1"/>
  </x:cols>
  <x:sheetData>
    <x:row r="1" ht="26" customHeight="1">
      <x:c r="A1" s="4" t="str">
        <x:v>CAP11 - Defense</x:v>
      </x:c>
      <x:c r="B1" s="4"/>
      <x:c r="C1" s="4"/>
      <x:c r="D1" s="4"/>
      <x:c r="E1" s="4"/>
    </x:row>
    <x:row r="3">
      <x:c r="A3" s="22" t="str">
        <x:v>Question / challenge</x:v>
      </x:c>
      <x:c r="B3" s="22" t="str">
        <x:v>Your short answer</x:v>
      </x:c>
      <x:c r="C3" s="22" t="str">
        <x:v>Evidence ID / artifact</x:v>
      </x:c>
      <x:c r="D3" s="22" t="str">
        <x:v>Alternative/trade-off</x:v>
      </x:c>
      <x:c r="E3" s="22" t="str">
        <x:v>Limitation / production change</x:v>
      </x:c>
    </x:row>
    <x:row r="4">
      <x:c r="A4" s="26" t="str">
        <x:v>Why separate Marketing/Target facts?</x:v>
      </x:c>
      <x:c r="B4" s="26" t="str"/>
      <x:c r="C4" s="26" t="str"/>
      <x:c r="D4" s="26" t="str"/>
      <x:c r="E4" s="26" t="str"/>
    </x:row>
    <x:row r="5">
      <x:c r="A5" s="26" t="str">
        <x:v>How prove SQL didn't multiply revenue?</x:v>
      </x:c>
      <x:c r="B5" s="26" t="str"/>
      <x:c r="C5" s="26" t="str"/>
      <x:c r="D5" s="26" t="str"/>
      <x:c r="E5" s="26" t="str"/>
    </x:row>
    <x:row r="6">
      <x:c r="A6" s="26" t="str">
        <x:v>Why this model relationship/filter direction?</x:v>
      </x:c>
      <x:c r="B6" s="26" t="str"/>
      <x:c r="C6" s="26" t="str"/>
      <x:c r="D6" s="26" t="str"/>
      <x:c r="E6" s="26" t="str"/>
    </x:row>
    <x:row r="7">
      <x:c r="A7" s="26" t="str">
        <x:v>Explain one DAX measure in business language</x:v>
      </x:c>
      <x:c r="B7" s="26" t="str"/>
      <x:c r="C7" s="26" t="str"/>
      <x:c r="D7" s="26" t="str"/>
      <x:c r="E7" s="26" t="str"/>
    </x:row>
    <x:row r="8">
      <x:c r="A8" s="26" t="str">
        <x:v>Why this transformation tool?</x:v>
      </x:c>
      <x:c r="B8" s="26" t="str"/>
      <x:c r="C8" s="26" t="str"/>
      <x:c r="D8" s="26" t="str"/>
      <x:c r="E8" s="26" t="str"/>
    </x:row>
    <x:row r="9">
      <x:c r="A9" s="26" t="str">
        <x:v>What data-quality failure did you handle?</x:v>
      </x:c>
      <x:c r="B9" s="26" t="str"/>
      <x:c r="C9" s="26" t="str"/>
      <x:c r="D9" s="26" t="str"/>
      <x:c r="E9" s="26" t="str"/>
    </x:row>
    <x:row r="10">
      <x:c r="A10" s="26" t="str">
        <x:v>How is rerun safe?</x:v>
      </x:c>
      <x:c r="B10" s="26" t="str"/>
      <x:c r="C10" s="26" t="str"/>
      <x:c r="D10" s="26" t="str"/>
      <x:c r="E10" s="26" t="str"/>
    </x:row>
    <x:row r="11">
      <x:c r="A11" s="26" t="str">
        <x:v>What changes at 10x scale?</x:v>
      </x:c>
      <x:c r="B11" s="26" t="str"/>
      <x:c r="C11" s="26" t="str"/>
      <x:c r="D11" s="26" t="str"/>
      <x:c r="E11" s="26" t="str"/>
    </x:row>
    <x:row r="12">
      <x:c r="A12" s="26" t="str">
        <x:v>What security/refresh assumptions exist?</x:v>
      </x:c>
      <x:c r="B12" s="26" t="str"/>
      <x:c r="C12" s="26" t="str"/>
      <x:c r="D12" s="26" t="str"/>
      <x:c r="E12" s="26" t="str"/>
    </x:row>
    <x:row r="13">
      <x:c r="A13" s="26" t="str">
        <x:v>What causal explanation did you reject?</x:v>
      </x:c>
      <x:c r="B13" s="26" t="str"/>
      <x:c r="C13" s="26" t="str"/>
      <x:c r="D13" s="26" t="str"/>
      <x:c r="E13" s="26" t="str"/>
    </x:row>
    <x:row r="14">
      <x:c r="A14" s="26" t="str">
        <x:v>What would you monitor in production?</x:v>
      </x:c>
      <x:c r="B14" s="26" t="str"/>
      <x:c r="C14" s="26" t="str"/>
      <x:c r="D14" s="26" t="str"/>
      <x:c r="E14" s="26" t="str"/>
    </x:row>
    <x:row r="15">
      <x:c r="A15" s="26" t="str">
        <x:v>What evidence are you still missing?</x:v>
      </x:c>
      <x:c r="B15" s="26" t="str"/>
      <x:c r="C15" s="26" t="str"/>
      <x:c r="D15" s="26" t="str"/>
      <x:c r="E15" s="26" t="str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40" hidden="0" customWidth="1"/>
    <x:col min="4" max="4" width="31" hidden="0" customWidth="1"/>
    <x:col min="5" max="5" width="38" hidden="0" customWidth="1"/>
    <x:col min="6" max="6" width="34" hidden="0" customWidth="1"/>
    <x:col min="7" max="7" width="38" hidden="0" customWidth="1"/>
    <x:col min="8" max="8" width="18" hidden="0" customWidth="1"/>
    <x:col min="9" max="9" width="20" hidden="0" customWidth="1"/>
  </x:cols>
  <x:sheetData>
    <x:row r="1" ht="26" customHeight="1">
      <x:c r="A1" s="4" t="str">
        <x:v>CAP12 - Interview - Stories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Story ID</x:v>
      </x:c>
      <x:c r="B3" s="22" t="str">
        <x:v>Competency</x:v>
      </x:c>
      <x:c r="C3" s="22" t="str">
        <x:v>Situation</x:v>
      </x:c>
      <x:c r="D3" s="22" t="str">
        <x:v>Task</x:v>
      </x:c>
      <x:c r="E3" s="22" t="str">
        <x:v>Action</x:v>
      </x:c>
      <x:c r="F3" s="22" t="str">
        <x:v>Evidence/result</x:v>
      </x:c>
      <x:c r="G3" s="22" t="str">
        <x:v>Learning/production gap</x:v>
      </x:c>
      <x:c r="H3" s="22" t="str">
        <x:v>Evidence ID</x:v>
      </x:c>
      <x:c r="I3" s="22" t="str">
        <x:v>Truth check</x:v>
      </x:c>
    </x:row>
    <x:row r="4">
      <x:c r="A4" s="26" t="str">
        <x:v>S01</x:v>
      </x:c>
      <x:c r="B4" s="26" t="str">
        <x:v>Technical quality</x:v>
      </x:c>
      <x:c r="C4" s="26" t="str"/>
      <x:c r="D4" s="26" t="str"/>
      <x:c r="E4" s="26" t="str"/>
      <x:c r="F4" s="26" t="str"/>
      <x:c r="G4" s="26" t="str"/>
      <x:c r="H4" s="26" t="str"/>
      <x:c r="I4" s="26" t="str"/>
    </x:row>
    <x:row r="5">
      <x:c r="A5" s="26" t="str">
        <x:v>S02</x:v>
      </x:c>
      <x:c r="B5" s="26" t="str">
        <x:v>Stakeholder/decision</x:v>
      </x:c>
      <x:c r="C5" s="26" t="str"/>
      <x:c r="D5" s="26" t="str"/>
      <x:c r="E5" s="26" t="str"/>
      <x:c r="F5" s="26" t="str"/>
      <x:c r="G5" s="26" t="str"/>
      <x:c r="H5" s="26" t="str"/>
      <x:c r="I5" s="26" t="str"/>
    </x:row>
    <x:row r="6">
      <x:c r="A6" s="26" t="str">
        <x:v>S03</x:v>
      </x:c>
      <x:c r="B6" s="26" t="str">
        <x:v>Automation/modeling</x:v>
      </x:c>
      <x:c r="C6" s="26" t="str"/>
      <x:c r="D6" s="26" t="str"/>
      <x:c r="E6" s="26" t="str"/>
      <x:c r="F6" s="26" t="str"/>
      <x:c r="G6" s="26" t="str"/>
      <x:c r="H6" s="26" t="str"/>
      <x:c r="I6" s="26" t="str"/>
    </x:row>
    <x:row r="7">
      <x:c r="A7" s="26" t="str">
        <x:v>S04</x:v>
      </x:c>
      <x:c r="B7" s="26" t="str">
        <x:v>Failure/recovery</x:v>
      </x:c>
      <x:c r="C7" s="26" t="str"/>
      <x:c r="D7" s="26" t="str"/>
      <x:c r="E7" s="26" t="str"/>
      <x:c r="F7" s="26" t="str"/>
      <x:c r="G7" s="26" t="str"/>
      <x:c r="H7" s="26" t="str"/>
      <x:c r="I7" s="26" t="str"/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40" hidden="0" customWidth="1"/>
    <x:col min="4" max="4" width="31" hidden="0" customWidth="1"/>
  </x:cols>
  <x:sheetData>
    <x:row r="1" ht="26" customHeight="1">
      <x:c r="A1" s="4" t="str">
        <x:v>CAP13 - Promotion - Case</x:v>
      </x:c>
      <x:c r="B1" s="4"/>
      <x:c r="C1" s="4"/>
      <x:c r="D1" s="4"/>
    </x:row>
    <x:row r="3">
      <x:c r="A3" s="22" t="str">
        <x:v>Section</x:v>
      </x:c>
      <x:c r="B3" s="22" t="str">
        <x:v>Your evidence-backed case</x:v>
      </x:c>
      <x:c r="C3" s="22" t="str">
        <x:v>Evidence ID / strength</x:v>
      </x:c>
      <x:c r="D3" s="22" t="str">
        <x:v>Known gap / owner</x:v>
      </x:c>
    </x:row>
    <x:row r="4">
      <x:c r="A4" s="26" t="str">
        <x:v>Target capability/role</x:v>
      </x:c>
      <x:c r="B4" s="26" t="str"/>
      <x:c r="C4" s="26" t="str"/>
      <x:c r="D4" s="26" t="str"/>
    </x:row>
    <x:row r="5">
      <x:c r="A5" s="26" t="str">
        <x:v>Why now</x:v>
      </x:c>
      <x:c r="B5" s="26" t="str"/>
      <x:c r="C5" s="26" t="str"/>
      <x:c r="D5" s="26" t="str"/>
    </x:row>
    <x:row r="6">
      <x:c r="A6" s="26" t="str">
        <x:v>Technical ownership</x:v>
      </x:c>
      <x:c r="B6" s="26" t="str"/>
      <x:c r="C6" s="26" t="str"/>
      <x:c r="D6" s="26" t="str"/>
    </x:row>
    <x:row r="7">
      <x:c r="A7" s="26" t="str">
        <x:v>Analytical judgment</x:v>
      </x:c>
      <x:c r="B7" s="26" t="str"/>
      <x:c r="C7" s="26" t="str"/>
      <x:c r="D7" s="26" t="str"/>
    </x:row>
    <x:row r="8">
      <x:c r="A8" s="26" t="str">
        <x:v>Stakeholder communication</x:v>
      </x:c>
      <x:c r="B8" s="26" t="str"/>
      <x:c r="C8" s="26" t="str"/>
      <x:c r="D8" s="26" t="str"/>
    </x:row>
    <x:row r="9">
      <x:c r="A9" s="26" t="str">
        <x:v>Automation/repeatability</x:v>
      </x:c>
      <x:c r="B9" s="26" t="str"/>
      <x:c r="C9" s="26" t="str"/>
      <x:c r="D9" s="26" t="str"/>
    </x:row>
    <x:row r="10">
      <x:c r="A10" s="26" t="str">
        <x:v>Quality/validation</x:v>
      </x:c>
      <x:c r="B10" s="26" t="str"/>
      <x:c r="C10" s="26" t="str"/>
      <x:c r="D10" s="26" t="str"/>
    </x:row>
    <x:row r="11">
      <x:c r="A11" s="26" t="str">
        <x:v>Documentation/mentoring</x:v>
      </x:c>
      <x:c r="B11" s="26" t="str"/>
      <x:c r="C11" s="26" t="str"/>
      <x:c r="D11" s="26" t="str"/>
    </x:row>
    <x:row r="12">
      <x:c r="A12" s="26" t="str">
        <x:v>Business value - truthful only</x:v>
      </x:c>
      <x:c r="B12" s="26" t="str"/>
      <x:c r="C12" s="26" t="str"/>
      <x:c r="D12" s="26" t="str"/>
    </x:row>
    <x:row r="13">
      <x:c r="A13" s="26" t="str">
        <x:v>Specific next-step request</x:v>
      </x:c>
      <x:c r="B13" s="26" t="str"/>
      <x:c r="C13" s="26" t="str"/>
      <x:c r="D13" s="26" t="str"/>
    </x:row>
  </x:sheetData>
  <x:mergeCells>
    <x:mergeCell ref="A1:D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40" hidden="0" customWidth="1"/>
    <x:col min="4" max="4" width="31" hidden="0" customWidth="1"/>
    <x:col min="5" max="5" width="38" hidden="0" customWidth="1"/>
    <x:col min="6" max="6" width="34" hidden="0" customWidth="1"/>
    <x:col min="7" max="7" width="38" hidden="0" customWidth="1"/>
  </x:cols>
  <x:sheetData>
    <x:row r="1" ht="26" customHeight="1">
      <x:c r="A1" s="4" t="str">
        <x:v>CAP14 - Job - Switch</x:v>
      </x:c>
      <x:c r="B1" s="4"/>
      <x:c r="C1" s="4"/>
      <x:c r="D1" s="4"/>
      <x:c r="E1" s="4"/>
      <x:c r="F1" s="4"/>
      <x:c r="G1" s="4"/>
    </x:row>
    <x:row r="3">
      <x:c r="A3" s="22" t="str">
        <x:v>Target role / requirement</x:v>
      </x:c>
      <x:c r="B3" s="22" t="str">
        <x:v>Must-have?</x:v>
      </x:c>
      <x:c r="C3" s="22" t="str">
        <x:v>My proof</x:v>
      </x:c>
      <x:c r="D3" s="22" t="str">
        <x:v>Evidence type</x:v>
      </x:c>
      <x:c r="E3" s="22" t="str">
        <x:v>Production gap</x:v>
      </x:c>
      <x:c r="F3" s="22" t="str">
        <x:v>Apply/Maybe/Skip</x:v>
      </x:c>
      <x:c r="G3" s="22" t="str">
        <x:v>Why / next action</x:v>
      </x:c>
    </x:row>
    <x:row r="4">
      <x:c r="A4" s="26" t="str">
        <x:v>Advanced SQL</x:v>
      </x:c>
      <x:c r="B4" s="26" t="str"/>
      <x:c r="C4" s="26" t="str"/>
      <x:c r="D4" s="26" t="str"/>
      <x:c r="E4" s="26" t="str"/>
      <x:c r="F4" s="26" t="str"/>
      <x:c r="G4" s="26" t="str"/>
    </x:row>
    <x:row r="5">
      <x:c r="A5" s="26" t="str">
        <x:v>Power BI modeling/DAX</x:v>
      </x:c>
      <x:c r="B5" s="26" t="str"/>
      <x:c r="C5" s="26" t="str"/>
      <x:c r="D5" s="26" t="str"/>
      <x:c r="E5" s="26" t="str"/>
      <x:c r="F5" s="26" t="str"/>
      <x:c r="G5" s="26" t="str"/>
    </x:row>
    <x:row r="6">
      <x:c r="A6" s="26" t="str">
        <x:v>Power Query/automation</x:v>
      </x:c>
      <x:c r="B6" s="26" t="str"/>
      <x:c r="C6" s="26" t="str"/>
      <x:c r="D6" s="26" t="str"/>
      <x:c r="E6" s="26" t="str"/>
      <x:c r="F6" s="26" t="str"/>
      <x:c r="G6" s="26" t="str"/>
    </x:row>
    <x:row r="7">
      <x:c r="A7" s="26" t="str">
        <x:v>Python automation</x:v>
      </x:c>
      <x:c r="B7" s="26" t="str"/>
      <x:c r="C7" s="26" t="str"/>
      <x:c r="D7" s="26" t="str"/>
      <x:c r="E7" s="26" t="str"/>
      <x:c r="F7" s="26" t="str"/>
      <x:c r="G7" s="26" t="str"/>
    </x:row>
    <x:row r="8">
      <x:c r="A8" s="26" t="str">
        <x:v>Data quality/validation</x:v>
      </x:c>
      <x:c r="B8" s="26" t="str"/>
      <x:c r="C8" s="26" t="str"/>
      <x:c r="D8" s="26" t="str"/>
      <x:c r="E8" s="26" t="str"/>
      <x:c r="F8" s="26" t="str"/>
      <x:c r="G8" s="26" t="str"/>
    </x:row>
    <x:row r="9">
      <x:c r="A9" s="26" t="str">
        <x:v>Stakeholder/executive communication</x:v>
      </x:c>
      <x:c r="B9" s="26" t="str"/>
      <x:c r="C9" s="26" t="str"/>
      <x:c r="D9" s="26" t="str"/>
      <x:c r="E9" s="26" t="str"/>
      <x:c r="F9" s="26" t="str"/>
      <x:c r="G9" s="26" t="str"/>
    </x:row>
    <x:row r="10">
      <x:c r="A10" s="26" t="str">
        <x:v>Enterprise refresh/security</x:v>
      </x:c>
      <x:c r="B10" s="26" t="str"/>
      <x:c r="C10" s="26" t="str"/>
      <x:c r="D10" s="26" t="str"/>
      <x:c r="E10" s="26" t="str"/>
      <x:c r="F10" s="26" t="str"/>
      <x:c r="G10" s="26" t="str"/>
    </x:row>
    <x:row r="11">
      <x:c r="A11" s="26" t="str">
        <x:v>Documentation/handoff</x:v>
      </x:c>
      <x:c r="B11" s="26" t="str"/>
      <x:c r="C11" s="26" t="str"/>
      <x:c r="D11" s="26" t="str"/>
      <x:c r="E11" s="26" t="str"/>
      <x:c r="F11" s="26" t="str"/>
      <x:c r="G11" s="26" t="str"/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</x:cols>
  <x:sheetData>
    <x:row r="1" ht="26" customHeight="1">
      <x:c r="A1" s="4" t="str">
        <x:v>Meridian Capstone Evidence Dashboard</x:v>
      </x:c>
      <x:c r="B1" s="4"/>
      <x:c r="C1" s="4"/>
      <x:c r="D1" s="4"/>
      <x:c r="E1" s="4"/>
      <x:c r="F1" s="4"/>
    </x:row>
    <x:row r="3">
      <x:c r="A3" s="22" t="str">
        <x:v>Metric</x:v>
      </x:c>
      <x:c r="B3" s="22" t="str">
        <x:v>Value</x:v>
      </x:c>
    </x:row>
    <x:row r="4">
      <x:c r="A4" t="str">
        <x:v>CAP units</x:v>
      </x:c>
      <x:c r="B4" t="n">
        <x:v>14</x:v>
      </x:c>
    </x:row>
    <x:row r="5">
      <x:c r="A5" t="str">
        <x:v>CAP mastered</x:v>
      </x:c>
      <x:c r="B5" t="n">
        <x:f>COUNTIF(CAP_Tracker!J4:J17,"MASTERED")</x:f>
        <x:v>0</x:v>
      </x:c>
    </x:row>
    <x:row r="6">
      <x:c r="A6" t="str">
        <x:v>CAP not ready</x:v>
      </x:c>
      <x:c r="B6" t="n">
        <x:f>COUNTIF(CAP_Tracker!J4:J17,"NOT READY")</x:f>
        <x:v>14</x:v>
      </x:c>
    </x:row>
    <x:row r="7">
      <x:c r="A7" t="str">
        <x:v>Validation PASS</x:v>
      </x:c>
      <x:c r="B7" t="n">
        <x:f>COUNTIF(CAP8_Validation_Log!F4:F15,"PASS")</x:f>
        <x:v>0</x:v>
      </x:c>
    </x:row>
    <x:row r="8">
      <x:c r="A8" t="str">
        <x:v>Validation FAIL</x:v>
      </x:c>
      <x:c r="B8" t="n">
        <x:f>COUNTIF(CAP8_Validation_Log!F4:F15,"FAIL")</x:f>
        <x:v>0</x:v>
      </x:c>
    </x:row>
    <x:row r="9">
      <x:c r="A9" t="str">
        <x:v>Critical validation FAIL</x:v>
      </x:c>
      <x:c r="B9" t="n">
        <x:f>COUNTIFS(CAP8_Validation_Log!F4:F15,"FAIL",CAP8_Validation_Log!G4:G15,"CRITICAL")</x:f>
        <x:v>0</x:v>
      </x:c>
    </x:row>
    <x:row r="10">
      <x:c r="A10" t="str">
        <x:v>Final Gate status</x:v>
      </x:c>
      <x:c r="B10" t="str">
        <x:v>NOT ATTEMPTED</x:v>
      </x:c>
    </x:row>
  </x:sheetData>
  <x:mergeCells>
    <x:mergeCell ref="A1:F1"/>
  </x:mergeCells>
  <x:pageMargins left="0.7" right="0.7" top="0.75" bottom="0.75" header="0.3" footer="0.3"/>
</x:worksheet>
</file>