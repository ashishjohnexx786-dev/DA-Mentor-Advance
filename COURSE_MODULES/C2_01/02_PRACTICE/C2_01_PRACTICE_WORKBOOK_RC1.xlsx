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c6e357135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f35d1b548547f4"/>
    <x:sheet xmlns:r="http://schemas.openxmlformats.org/officeDocument/2006/relationships" name="AX1_Formulas" sheetId="2" r:id="R4743e20eca9242eb"/>
    <x:sheet xmlns:r="http://schemas.openxmlformats.org/officeDocument/2006/relationships" name="AX2_Lookups" sheetId="3" r:id="R0931902f564e42d8"/>
    <x:sheet xmlns:r="http://schemas.openxmlformats.org/officeDocument/2006/relationships" name="AX3_Dynamic_Arrays" sheetId="4" r:id="Rb2d652452d554265"/>
    <x:sheet xmlns:r="http://schemas.openxmlformats.org/officeDocument/2006/relationships" name="AX4_Conditional_KPIs" sheetId="5" r:id="Re8dfd810d38c482c"/>
    <x:sheet xmlns:r="http://schemas.openxmlformats.org/officeDocument/2006/relationships" name="AX5_Pivots" sheetId="6" r:id="R23f731513f304993"/>
    <x:sheet xmlns:r="http://schemas.openxmlformats.org/officeDocument/2006/relationships" name="AX6_PQ_Architecture" sheetId="7" r:id="R981aac3d82174496"/>
    <x:sheet xmlns:r="http://schemas.openxmlformats.org/officeDocument/2006/relationships" name="AX7_PQ_Folder" sheetId="8" r:id="R64494101104a46e1"/>
    <x:sheet xmlns:r="http://schemas.openxmlformats.org/officeDocument/2006/relationships" name="AX8_Merge_Append" sheetId="9" r:id="Re221fc870d904321"/>
    <x:sheet xmlns:r="http://schemas.openxmlformats.org/officeDocument/2006/relationships" name="AX9_Parameters" sheetId="10" r:id="Rb752c2c172ad48f5"/>
    <x:sheet xmlns:r="http://schemas.openxmlformats.org/officeDocument/2006/relationships" name="AX10_Month_End" sheetId="11" r:id="Ref39024e83fe47fc"/>
    <x:sheet xmlns:r="http://schemas.openxmlformats.org/officeDocument/2006/relationships" name="Evidence_Log" sheetId="12" r:id="R3c261d5afb7941dc"/>
    <x:sheet xmlns:r="http://schemas.openxmlformats.org/officeDocument/2006/relationships" name="Mastery_Tracker" sheetId="13" r:id="R4249374d082f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0e4e1ee1e486e" /><Relationship Type="http://schemas.openxmlformats.org/officeDocument/2006/relationships/theme" Target="/xl/theme/theme1.xml" Id="R0fa0f93625274827" /><Relationship Type="http://schemas.openxmlformats.org/officeDocument/2006/relationships/sharedStrings" Target="/xl/sharedStrings.xml" Id="R664815b397d448f0" /><Relationship Type="http://schemas.openxmlformats.org/officeDocument/2006/relationships/worksheet" Target="/xl/worksheets/sheet1.xml" Id="Rcaf35d1b548547f4" /><Relationship Type="http://schemas.openxmlformats.org/officeDocument/2006/relationships/worksheet" Target="/xl/worksheets/sheet2.xml" Id="R4743e20eca9242eb" /><Relationship Type="http://schemas.openxmlformats.org/officeDocument/2006/relationships/worksheet" Target="/xl/worksheets/sheet3.xml" Id="R0931902f564e42d8" /><Relationship Type="http://schemas.openxmlformats.org/officeDocument/2006/relationships/worksheet" Target="/xl/worksheets/sheet4.xml" Id="Rb2d652452d554265" /><Relationship Type="http://schemas.openxmlformats.org/officeDocument/2006/relationships/worksheet" Target="/xl/worksheets/sheet5.xml" Id="Re8dfd810d38c482c" /><Relationship Type="http://schemas.openxmlformats.org/officeDocument/2006/relationships/worksheet" Target="/xl/worksheets/sheet6.xml" Id="R23f731513f304993" /><Relationship Type="http://schemas.openxmlformats.org/officeDocument/2006/relationships/worksheet" Target="/xl/worksheets/sheet7.xml" Id="R981aac3d82174496" /><Relationship Type="http://schemas.openxmlformats.org/officeDocument/2006/relationships/worksheet" Target="/xl/worksheets/sheet8.xml" Id="R64494101104a46e1" /><Relationship Type="http://schemas.openxmlformats.org/officeDocument/2006/relationships/worksheet" Target="/xl/worksheets/sheet9.xml" Id="Re221fc870d904321" /><Relationship Type="http://schemas.openxmlformats.org/officeDocument/2006/relationships/worksheet" Target="/xl/worksheets/sheet10.xml" Id="Rb752c2c172ad48f5" /><Relationship Type="http://schemas.openxmlformats.org/officeDocument/2006/relationships/worksheet" Target="/xl/worksheets/sheet11.xml" Id="Ref39024e83fe47fc" /><Relationship Type="http://schemas.openxmlformats.org/officeDocument/2006/relationships/worksheet" Target="/xl/worksheets/sheet12.xml" Id="R3c261d5afb7941dc" /><Relationship Type="http://schemas.openxmlformats.org/officeDocument/2006/relationships/worksheet" Target="/xl/worksheets/sheet13.xml" Id="R4249374d082f44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4" t="str">
        <x:v>C2-01 Advanced Excel &amp; Power Query - Practice Workbook RC1</x:v>
      </x:c>
      <x:c r="B1" s="4"/>
      <x:c r="C1" s="4"/>
      <x:c r="D1" s="4"/>
      <x:c r="E1" s="4"/>
      <x:c r="F1" s="4"/>
    </x:row>
    <x:row r="3">
      <x:c r="A3" s="10" t="str">
        <x:v>Teaching route</x:v>
      </x:c>
      <x:c r="B3" s="16" t="str">
        <x:v>Read matching Teaching Book pages first, then work only the matching lesson sheet.</x:v>
      </x:c>
    </x:row>
    <x:row r="4">
      <x:c r="A4" s="10" t="str">
        <x:v>Practice data</x:v>
      </x:c>
      <x:c r="B4" s="16" t="str">
        <x:v>Extract C2_01_PRACTICE_DATA_RC1.zip into a clean folder. Keep an untouched copy.</x:v>
      </x:c>
    </x:row>
    <x:row r="5">
      <x:c r="A5" s="10" t="str">
        <x:v>Attempt rule</x:v>
      </x:c>
      <x:c r="B5" s="16" t="str">
        <x:v>Save a genuine attempt before opening the protected review.</x:v>
      </x:c>
    </x:row>
    <x:row r="6">
      <x:c r="A6" s="10" t="str">
        <x:v>Changed retry</x:v>
      </x:c>
      <x:c r="B6" s="16" t="str">
        <x:v>After review, close it and complete the changed transfer. Do not overwrite the original attempt.</x:v>
      </x:c>
    </x:row>
    <x:row r="7">
      <x:c r="A7" s="10" t="str">
        <x:v>AX1-AX5</x:v>
      </x:c>
      <x:c r="B7" s="16" t="str">
        <x:v>Excel formulas / lookup / dynamic arrays / conditional KPIs / PivotTables.</x:v>
      </x:c>
    </x:row>
    <x:row r="8">
      <x:c r="A8" s="10" t="str">
        <x:v>AX6-AX10</x:v>
      </x:c>
      <x:c r="B8" s="16" t="str">
        <x:v>Power Query hands-on. Current Excel for Windows preferred.</x:v>
      </x:c>
    </x:row>
    <x:row r="9">
      <x:c r="A9" s="10" t="str">
        <x:v>Compatibility</x:v>
      </x:c>
      <x:c r="B9" s="16" t="str">
        <x:v>If XLOOKUP/dynamic arrays/Power Query are unavailable, record ENVIRONMENT BLOCKED rather than claiming mastery.</x:v>
      </x:c>
    </x:row>
    <x:row r="10">
      <x:c r="A10" s="10" t="str">
        <x:v>Validation</x:v>
      </x:c>
      <x:c r="B10" s="16" t="str">
        <x:v>Every lesson needs an independent control: row count, key check, unmatched list, total reconciliation, refresh proof, or release gate.</x:v>
      </x:c>
    </x:row>
    <x:row r="11">
      <x:c r="A11" s="10" t="str">
        <x:v>External videos</x:v>
      </x:c>
      <x:c r="B11" s="16" t="str">
        <x:v>Support only. No workbook answer depends on them.</x:v>
      </x:c>
    </x:row>
    <x:row r="12">
      <x:c r="A12" s="10" t="str">
        <x:v>Mini-Lab</x:v>
      </x:c>
      <x:c r="B12" s="16" t="str">
        <x:v>After AX1-AX10, complete the separate month-end refresh Mini-Lab.</x:v>
      </x:c>
    </x:row>
    <x:row r="13">
      <x:c r="A13" s="10" t="str">
        <x:v>Gate</x:v>
      </x:c>
      <x:c r="B13" s="16" t="str">
        <x:v>Gate A after Mini-Lab. Gate B/C only when explicitly assigned.</x:v>
      </x:c>
    </x:row>
    <x:row r="14">
      <x:c r="A14" s="10" t="str">
        <x:v>Course position</x:v>
      </x:c>
      <x:c r="B14" s="16" t="str">
        <x:v>Optional C2A depth; not a hidden prerequisite for C2B/C3.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8" hidden="0" customWidth="1"/>
    <x:col min="4" max="4" width="42" hidden="0" customWidth="1"/>
  </x:cols>
  <x:sheetData>
    <x:row r="1" ht="28" customHeight="1">
      <x:c r="A1" s="4" t="str">
        <x:v>AX1 - Formulas</x:v>
      </x:c>
      <x:c r="B1" s="4"/>
      <x:c r="C1" s="4"/>
      <x:c r="D1" s="4"/>
    </x:row>
    <x:row r="3">
      <x:c r="A3" s="23" t="str">
        <x:v>Control</x:v>
      </x:c>
      <x:c r="B3" s="23" t="str">
        <x:v>Your design / formula</x:v>
      </x:c>
      <x:c r="C3" s="23" t="str">
        <x:v>Validation evidence</x:v>
      </x:c>
      <x:c r="D3" s="23" t="str">
        <x:v>Changed retry</x:v>
      </x:c>
    </x:row>
    <x:row r="4">
      <x:c r="A4" s="28" t="str">
        <x:v>Assumption block: FuelSurcharge</x:v>
      </x:c>
      <x:c r="B4" s="28" t="str"/>
      <x:c r="C4" s="28" t="str"/>
      <x:c r="D4" s="28" t="str">
        <x:v>After review change to RemoteAreaFee.</x:v>
      </x:c>
    </x:row>
    <x:row r="5">
      <x:c r="A5" s="28" t="str">
        <x:v>Assumption block: FreeShippingThreshold</x:v>
      </x:c>
      <x:c r="B5" s="28" t="str"/>
      <x:c r="C5" s="28" t="str"/>
      <x:c r="D5" s="28" t="str"/>
    </x:row>
    <x:row r="6">
      <x:c r="A6" s="28" t="str">
        <x:v>Line shipping cost formula</x:v>
      </x:c>
      <x:c r="B6" s="28" t="str"/>
      <x:c r="C6" s="28" t="str"/>
      <x:c r="D6" s="28" t="str"/>
    </x:row>
    <x:row r="7">
      <x:c r="A7" s="28" t="str">
        <x:v>Order total formula</x:v>
      </x:c>
      <x:c r="B7" s="28" t="str"/>
      <x:c r="C7" s="28" t="str"/>
      <x:c r="D7" s="28" t="str"/>
    </x:row>
    <x:row r="8">
      <x:c r="A8" s="28" t="str">
        <x:v>Control 1 - total reconciliation</x:v>
      </x:c>
      <x:c r="B8" s="28" t="str"/>
      <x:c r="C8" s="28" t="str"/>
      <x:c r="D8" s="28" t="str"/>
    </x:row>
    <x:row r="9">
      <x:c r="A9" s="28" t="str">
        <x:v>Control 2 - impossible value / range check</x:v>
      </x:c>
      <x:c r="B9" s="28" t="str"/>
      <x:c r="C9" s="28" t="str"/>
      <x:c r="D9" s="28" t="str"/>
    </x:row>
    <x:row r="10">
      <x:c r="A10" s="28" t="str">
        <x:v>What changed when surcharge changed?</x:v>
      </x:c>
      <x:c r="B10" s="28" t="str"/>
      <x:c r="C10" s="28" t="str"/>
      <x:c r="D10" s="28" t="str"/>
    </x:row>
    <x:row r="11">
      <x:c r="A11" s="28" t="str">
        <x:v>Explain-back evidence</x:v>
      </x:c>
      <x:c r="B11" s="28" t="str"/>
      <x:c r="C11" s="28" t="str"/>
      <x:c r="D11" s="28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8" hidden="0" customWidth="1"/>
    <x:col min="4" max="4" width="42" hidden="0" customWidth="1"/>
  </x:cols>
  <x:sheetData>
    <x:row r="1" ht="28" customHeight="1">
      <x:c r="A1" s="4" t="str">
        <x:v>AX2 - Lookups</x:v>
      </x:c>
      <x:c r="B1" s="4"/>
      <x:c r="C1" s="4"/>
      <x:c r="D1" s="4"/>
    </x:row>
    <x:row r="3">
      <x:c r="A3" s="23" t="str">
        <x:v>Control</x:v>
      </x:c>
      <x:c r="B3" s="23" t="str">
        <x:v>Your formula / result</x:v>
      </x:c>
      <x:c r="C3" s="23" t="str">
        <x:v>Evidence</x:v>
      </x:c>
      <x:c r="D3" s="23" t="str">
        <x:v>Changed retry</x:v>
      </x:c>
    </x:row>
    <x:row r="4">
      <x:c r="A4" s="28" t="str">
        <x:v>Business key</x:v>
      </x:c>
      <x:c r="B4" s="28" t="str"/>
      <x:c r="C4" s="28" t="str"/>
      <x:c r="D4" s="28" t="str">
        <x:v>After review use employee -&gt; department.</x:v>
      </x:c>
    </x:row>
    <x:row r="5">
      <x:c r="A5" s="28" t="str">
        <x:v>Blank key count</x:v>
      </x:c>
      <x:c r="B5" s="28" t="str"/>
      <x:c r="C5" s="28" t="str"/>
      <x:c r="D5" s="28" t="str"/>
    </x:row>
    <x:row r="6">
      <x:c r="A6" s="28" t="str">
        <x:v>Duplicate master-key count</x:v>
      </x:c>
      <x:c r="B6" s="28" t="str"/>
      <x:c r="C6" s="28" t="str"/>
      <x:c r="D6" s="28" t="str"/>
    </x:row>
    <x:row r="7">
      <x:c r="A7" s="28" t="str">
        <x:v>XLOOKUP / fallback formula</x:v>
      </x:c>
      <x:c r="B7" s="28" t="str"/>
      <x:c r="C7" s="28" t="str"/>
      <x:c r="D7" s="28" t="str"/>
    </x:row>
    <x:row r="8">
      <x:c r="A8" s="28" t="str">
        <x:v>Unmatched key count/list</x:v>
      </x:c>
      <x:c r="B8" s="28" t="str"/>
      <x:c r="C8" s="28" t="str"/>
      <x:c r="D8" s="28" t="str"/>
    </x:row>
    <x:row r="9">
      <x:c r="A9" s="28" t="str">
        <x:v>Source row count before</x:v>
      </x:c>
      <x:c r="B9" s="28" t="str"/>
      <x:c r="C9" s="28" t="str"/>
      <x:c r="D9" s="28" t="str"/>
    </x:row>
    <x:row r="10">
      <x:c r="A10" s="28" t="str">
        <x:v>Source row count after</x:v>
      </x:c>
      <x:c r="B10" s="28" t="str"/>
      <x:c r="C10" s="28" t="str"/>
      <x:c r="D10" s="28" t="str"/>
    </x:row>
    <x:row r="11">
      <x:c r="A11" s="28" t="str">
        <x:v>Three ID spot checks</x:v>
      </x:c>
      <x:c r="B11" s="28" t="str"/>
      <x:c r="C11" s="28" t="str"/>
      <x:c r="D11" s="28" t="str"/>
    </x:row>
    <x:row r="12">
      <x:c r="A12" s="28" t="str">
        <x:v>Explain-back</x:v>
      </x:c>
      <x:c r="B12" s="28" t="str"/>
      <x:c r="C12" s="28" t="str"/>
      <x:c r="D12" s="28" t="str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8" hidden="0" customWidth="1"/>
    <x:col min="4" max="4" width="42" hidden="0" customWidth="1"/>
  </x:cols>
  <x:sheetData>
    <x:row r="1" ht="28" customHeight="1">
      <x:c r="A1" s="4" t="str">
        <x:v>AX3 - Dynamic - Arrays</x:v>
      </x:c>
      <x:c r="B1" s="4"/>
      <x:c r="C1" s="4"/>
      <x:c r="D1" s="4"/>
    </x:row>
    <x:row r="3">
      <x:c r="A3" s="23" t="str">
        <x:v>Task</x:v>
      </x:c>
      <x:c r="B3" s="23" t="str">
        <x:v>Your formula / result</x:v>
      </x:c>
      <x:c r="C3" s="23" t="str">
        <x:v>Independent control</x:v>
      </x:c>
      <x:c r="D3" s="23" t="str">
        <x:v>Changed retry</x:v>
      </x:c>
    </x:row>
    <x:row r="4">
      <x:c r="A4" s="28" t="str">
        <x:v>Sorted unique owner list</x:v>
      </x:c>
      <x:c r="B4" s="28" t="str"/>
      <x:c r="C4" s="28" t="str"/>
      <x:c r="D4" s="28" t="str">
        <x:v>After review build a product-region exception list.</x:v>
      </x:c>
    </x:row>
    <x:row r="5">
      <x:c r="A5" s="28" t="str">
        <x:v>Open P1/P2 FILTER view</x:v>
      </x:c>
      <x:c r="B5" s="28" t="str"/>
      <x:c r="C5" s="28" t="str"/>
      <x:c r="D5" s="28" t="str"/>
    </x:row>
    <x:row r="6">
      <x:c r="A6" s="28" t="str">
        <x:v>Expected eligible row count</x:v>
      </x:c>
      <x:c r="B6" s="28" t="str"/>
      <x:c r="C6" s="28" t="str"/>
      <x:c r="D6" s="28" t="str"/>
    </x:row>
    <x:row r="7">
      <x:c r="A7" s="28" t="str">
        <x:v>Observed spill row count</x:v>
      </x:c>
      <x:c r="B7" s="28" t="str"/>
      <x:c r="C7" s="28" t="str"/>
      <x:c r="D7" s="28" t="str"/>
    </x:row>
    <x:row r="8">
      <x:c r="A8" s="28" t="str">
        <x:v>Create and recover one #SPILL!</x:v>
      </x:c>
      <x:c r="B8" s="28" t="str"/>
      <x:c r="C8" s="28" t="str"/>
      <x:c r="D8" s="28" t="str"/>
    </x:row>
    <x:row r="9">
      <x:c r="A9" s="28" t="str">
        <x:v>Add one source row and refresh proof</x:v>
      </x:c>
      <x:c r="B9" s="28" t="str"/>
      <x:c r="C9" s="28" t="str"/>
      <x:c r="D9" s="28" t="str"/>
    </x:row>
    <x:row r="10">
      <x:c r="A10" s="28" t="str">
        <x:v>Explain-back</x:v>
      </x:c>
      <x:c r="B10" s="28" t="str"/>
      <x:c r="C10" s="28" t="str"/>
      <x:c r="D10" s="28" t="str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8" hidden="0" customWidth="1"/>
    <x:col min="4" max="4" width="42" hidden="0" customWidth="1"/>
  </x:cols>
  <x:sheetData>
    <x:row r="1" ht="28" customHeight="1">
      <x:c r="A1" s="4" t="str">
        <x:v>AX4 - Conditional - KPIs</x:v>
      </x:c>
      <x:c r="B1" s="4"/>
      <x:c r="C1" s="4"/>
      <x:c r="D1" s="4"/>
    </x:row>
    <x:row r="3">
      <x:c r="A3" s="23" t="str">
        <x:v>Metric field</x:v>
      </x:c>
      <x:c r="B3" s="23" t="str">
        <x:v>Your formula / contract</x:v>
      </x:c>
      <x:c r="C3" s="23" t="str">
        <x:v>Validation</x:v>
      </x:c>
      <x:c r="D3" s="23" t="str">
        <x:v>Changed retry</x:v>
      </x:c>
    </x:row>
    <x:row r="4">
      <x:c r="A4" s="28" t="str">
        <x:v>Metric = On-Time Delivery Rate</x:v>
      </x:c>
      <x:c r="B4" s="28" t="str"/>
      <x:c r="C4" s="28" t="str"/>
      <x:c r="D4" s="28" t="str">
        <x:v>After review use Refund Rate.</x:v>
      </x:c>
    </x:row>
    <x:row r="5">
      <x:c r="A5" s="28" t="str">
        <x:v>Numerator</x:v>
      </x:c>
      <x:c r="B5" s="28" t="str"/>
      <x:c r="C5" s="28" t="str"/>
      <x:c r="D5" s="28" t="str"/>
    </x:row>
    <x:row r="6">
      <x:c r="A6" s="28" t="str">
        <x:v>Denominator</x:v>
      </x:c>
      <x:c r="B6" s="28" t="str"/>
      <x:c r="C6" s="28" t="str"/>
      <x:c r="D6" s="28" t="str"/>
    </x:row>
    <x:row r="7">
      <x:c r="A7" s="28" t="str">
        <x:v>Eligible population / exclusions</x:v>
      </x:c>
      <x:c r="B7" s="28" t="str"/>
      <x:c r="C7" s="28" t="str"/>
      <x:c r="D7" s="28" t="str"/>
    </x:row>
    <x:row r="8">
      <x:c r="A8" s="28" t="str">
        <x:v>Date boundaries</x:v>
      </x:c>
      <x:c r="B8" s="28" t="str"/>
      <x:c r="C8" s="28" t="str"/>
      <x:c r="D8" s="28" t="str"/>
    </x:row>
    <x:row r="9">
      <x:c r="A9" s="28" t="str">
        <x:v>Region/month formula grid</x:v>
      </x:c>
      <x:c r="B9" s="28" t="str"/>
      <x:c r="C9" s="28" t="str"/>
      <x:c r="D9" s="28" t="str"/>
    </x:row>
    <x:row r="10">
      <x:c r="A10" s="28" t="str">
        <x:v>One manual-filter control</x:v>
      </x:c>
      <x:c r="B10" s="28" t="str"/>
      <x:c r="C10" s="28" t="str"/>
      <x:c r="D10" s="28" t="str"/>
    </x:row>
    <x:row r="11">
      <x:c r="A11" s="28" t="str">
        <x:v>Grand-total reconciliation</x:v>
      </x:c>
      <x:c r="B11" s="28" t="str"/>
      <x:c r="C11" s="28" t="str"/>
      <x:c r="D11" s="28" t="str"/>
    </x:row>
    <x:row r="12">
      <x:c r="A12" s="28" t="str">
        <x:v>Explain-back</x:v>
      </x:c>
      <x:c r="B12" s="28" t="str"/>
      <x:c r="C12" s="28" t="str"/>
      <x:c r="D12" s="28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8" hidden="0" customWidth="1"/>
    <x:col min="4" max="4" width="42" hidden="0" customWidth="1"/>
  </x:cols>
  <x:sheetData>
    <x:row r="1" ht="28" customHeight="1">
      <x:c r="A1" s="4" t="str">
        <x:v>AX5 - Pivots</x:v>
      </x:c>
      <x:c r="B1" s="4"/>
      <x:c r="C1" s="4"/>
      <x:c r="D1" s="4"/>
    </x:row>
    <x:row r="3">
      <x:c r="A3" s="23" t="str">
        <x:v>Control</x:v>
      </x:c>
      <x:c r="B3" s="23" t="str">
        <x:v>Your Pivot design / evidence</x:v>
      </x:c>
      <x:c r="C3" s="23" t="str">
        <x:v>Validation</x:v>
      </x:c>
      <x:c r="D3" s="23" t="str">
        <x:v>Changed retry</x:v>
      </x:c>
    </x:row>
    <x:row r="4">
      <x:c r="A4" s="28" t="str">
        <x:v>Business question</x:v>
      </x:c>
      <x:c r="B4" s="28" t="str"/>
      <x:c r="C4" s="28" t="str"/>
      <x:c r="D4" s="28" t="str">
        <x:v>After review analyze orders by category/channel.</x:v>
      </x:c>
    </x:row>
    <x:row r="5">
      <x:c r="A5" s="28" t="str">
        <x:v>Rows</x:v>
      </x:c>
      <x:c r="B5" s="28" t="str"/>
      <x:c r="C5" s="28" t="str"/>
      <x:c r="D5" s="28" t="str"/>
    </x:row>
    <x:row r="6">
      <x:c r="A6" s="28" t="str">
        <x:v>Columns</x:v>
      </x:c>
      <x:c r="B6" s="28" t="str"/>
      <x:c r="C6" s="28" t="str"/>
      <x:c r="D6" s="28" t="str"/>
    </x:row>
    <x:row r="7">
      <x:c r="A7" s="28" t="str">
        <x:v>Values + aggregation</x:v>
      </x:c>
      <x:c r="B7" s="28" t="str"/>
      <x:c r="C7" s="28" t="str"/>
      <x:c r="D7" s="28" t="str"/>
    </x:row>
    <x:row r="8">
      <x:c r="A8" s="28" t="str">
        <x:v>Filter/slicer</x:v>
      </x:c>
      <x:c r="B8" s="28" t="str"/>
      <x:c r="C8" s="28" t="str"/>
      <x:c r="D8" s="28" t="str"/>
    </x:row>
    <x:row r="9">
      <x:c r="A9" s="28" t="str">
        <x:v>Date grouping</x:v>
      </x:c>
      <x:c r="B9" s="28" t="str"/>
      <x:c r="C9" s="28" t="str"/>
      <x:c r="D9" s="28" t="str"/>
    </x:row>
    <x:row r="10">
      <x:c r="A10" s="28" t="str">
        <x:v>PivotChart</x:v>
      </x:c>
      <x:c r="B10" s="28" t="str"/>
      <x:c r="C10" s="28" t="str"/>
      <x:c r="D10" s="28" t="str"/>
    </x:row>
    <x:row r="11">
      <x:c r="A11" s="28" t="str">
        <x:v>Source control total</x:v>
      </x:c>
      <x:c r="B11" s="28" t="str"/>
      <x:c r="C11" s="28" t="str"/>
      <x:c r="D11" s="28" t="str"/>
    </x:row>
    <x:row r="12">
      <x:c r="A12" s="28" t="str">
        <x:v>Refresh test</x:v>
      </x:c>
      <x:c r="B12" s="28" t="str"/>
      <x:c r="C12" s="28" t="str"/>
      <x:c r="D12" s="28" t="str"/>
    </x:row>
    <x:row r="13">
      <x:c r="A13" s="28" t="str">
        <x:v>Explain-back</x:v>
      </x:c>
      <x:c r="B13" s="28" t="str"/>
      <x:c r="C13" s="28" t="str"/>
      <x:c r="D13" s="28" t="str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8" hidden="0" customWidth="1"/>
    <x:col min="4" max="4" width="42" hidden="0" customWidth="1"/>
  </x:cols>
  <x:sheetData>
    <x:row r="1" ht="28" customHeight="1">
      <x:c r="A1" s="4" t="str">
        <x:v>AX6 - PQ - Architecture</x:v>
      </x:c>
      <x:c r="B1" s="4"/>
      <x:c r="C1" s="4"/>
      <x:c r="D1" s="4"/>
    </x:row>
    <x:row r="3">
      <x:c r="A3" s="23" t="str">
        <x:v>Step</x:v>
      </x:c>
      <x:c r="B3" s="23" t="str">
        <x:v>Your evidence</x:v>
      </x:c>
      <x:c r="C3" s="23" t="str">
        <x:v>Expected control</x:v>
      </x:c>
      <x:c r="D3" s="23" t="str">
        <x:v>Changed retry</x:v>
      </x:c>
    </x:row>
    <x:row r="4">
      <x:c r="A4" s="28" t="str">
        <x:v>Import AX6_customers_dirty.csv</x:v>
      </x:c>
      <x:c r="B4" s="28" t="str"/>
      <x:c r="C4" s="28" t="str">
        <x:v>Source file recorded</x:v>
      </x:c>
      <x:c r="D4" s="28" t="str">
        <x:v>After review use a service log.</x:v>
      </x:c>
    </x:row>
    <x:row r="5">
      <x:c r="A5" s="28" t="str">
        <x:v>Rename staging query</x:v>
      </x:c>
      <x:c r="B5" s="28" t="str"/>
      <x:c r="C5" s="28" t="str">
        <x:v>Readable query name</x:v>
      </x:c>
      <x:c r="D5" s="28" t="str"/>
    </x:row>
    <x:row r="6">
      <x:c r="A6" s="28" t="str">
        <x:v>Set data types deliberately</x:v>
      </x:c>
      <x:c r="B6" s="28" t="str"/>
      <x:c r="C6" s="28" t="str">
        <x:v>No silent type errors</x:v>
      </x:c>
      <x:c r="D6" s="28" t="str"/>
    </x:row>
    <x:row r="7">
      <x:c r="A7" s="28" t="str">
        <x:v>Trim/standardize text</x:v>
      </x:c>
      <x:c r="B7" s="28" t="str"/>
      <x:c r="C7" s="28" t="str">
        <x:v>Before/after distinct values checked</x:v>
      </x:c>
      <x:c r="D7" s="28" t="str"/>
    </x:row>
    <x:row r="8">
      <x:c r="A8" s="28" t="str">
        <x:v>Conditional column</x:v>
      </x:c>
      <x:c r="B8" s="28" t="str"/>
      <x:c r="C8" s="28" t="str">
        <x:v>Rule documented</x:v>
      </x:c>
      <x:c r="D8" s="28" t="str"/>
    </x:row>
    <x:row r="9">
      <x:c r="A9" s="28" t="str">
        <x:v>Source row count</x:v>
      </x:c>
      <x:c r="B9" s="28" t="str"/>
      <x:c r="C9" s="28" t="str">
        <x:v>Known</x:v>
      </x:c>
      <x:c r="D9" s="28" t="str"/>
    </x:row>
    <x:row r="10">
      <x:c r="A10" s="28" t="str">
        <x:v>Output row count</x:v>
      </x:c>
      <x:c r="B10" s="28" t="str"/>
      <x:c r="C10" s="28" t="str">
        <x:v>Explained</x:v>
      </x:c>
      <x:c r="D10" s="28" t="str"/>
    </x:row>
    <x:row r="11">
      <x:c r="A11" s="28" t="str">
        <x:v>Load destination</x:v>
      </x:c>
      <x:c r="B11" s="28" t="str"/>
      <x:c r="C11" s="28" t="str">
        <x:v>Intentional</x:v>
      </x:c>
      <x:c r="D11" s="28" t="str"/>
    </x:row>
    <x:row r="12">
      <x:c r="A12" s="28" t="str">
        <x:v>Explain-back</x:v>
      </x:c>
      <x:c r="B12" s="28" t="str"/>
      <x:c r="C12" s="28" t="str"/>
      <x:c r="D12" s="28" t="str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8" hidden="0" customWidth="1"/>
    <x:col min="4" max="4" width="42" hidden="0" customWidth="1"/>
  </x:cols>
  <x:sheetData>
    <x:row r="1" ht="28" customHeight="1">
      <x:c r="A1" s="4" t="str">
        <x:v>AX7 - PQ - Folder</x:v>
      </x:c>
      <x:c r="B1" s="4"/>
      <x:c r="C1" s="4"/>
      <x:c r="D1" s="4"/>
    </x:row>
    <x:row r="3">
      <x:c r="A3" s="23" t="str">
        <x:v>Control</x:v>
      </x:c>
      <x:c r="B3" s="23" t="str">
        <x:v>Your evidence</x:v>
      </x:c>
      <x:c r="C3" s="23" t="str">
        <x:v>Pass condition</x:v>
      </x:c>
      <x:c r="D3" s="23" t="str">
        <x:v>Changed retry</x:v>
      </x:c>
    </x:row>
    <x:row r="4">
      <x:c r="A4" s="28" t="str">
        <x:v>Expected file list</x:v>
      </x:c>
      <x:c r="B4" s="28" t="str"/>
      <x:c r="C4" s="28" t="str">
        <x:v>3 clean Jan-Mar files</x:v>
      </x:c>
      <x:c r="D4" s="28" t="str">
        <x:v>After review use a folder with one missing month.</x:v>
      </x:c>
    </x:row>
    <x:row r="5">
      <x:c r="A5" s="28" t="str">
        <x:v>Actual file list</x:v>
      </x:c>
      <x:c r="B5" s="28" t="str"/>
      <x:c r="C5" s="28" t="str">
        <x:v>Compared</x:v>
      </x:c>
      <x:c r="D5" s="28" t="str"/>
    </x:row>
    <x:row r="6">
      <x:c r="A6" s="28" t="str">
        <x:v>Exclude IGNORE_backup</x:v>
      </x:c>
      <x:c r="B6" s="28" t="str"/>
      <x:c r="C6" s="28" t="str">
        <x:v>0 backup contribution</x:v>
      </x:c>
      <x:c r="D6" s="28" t="str"/>
    </x:row>
    <x:row r="7">
      <x:c r="A7" s="28" t="str">
        <x:v>Combine intended CSVs</x:v>
      </x:c>
      <x:c r="B7" s="28" t="str"/>
      <x:c r="C7" s="28" t="str">
        <x:v>All expected files</x:v>
      </x:c>
      <x:c r="D7" s="28" t="str"/>
    </x:row>
    <x:row r="8">
      <x:c r="A8" s="28" t="str">
        <x:v>Preserve Source.Name</x:v>
      </x:c>
      <x:c r="B8" s="28" t="str"/>
      <x:c r="C8" s="28" t="str">
        <x:v>Present</x:v>
      </x:c>
      <x:c r="D8" s="28" t="str"/>
    </x:row>
    <x:row r="9">
      <x:c r="A9" s="28" t="str">
        <x:v>Per-file row counts</x:v>
      </x:c>
      <x:c r="B9" s="28" t="str"/>
      <x:c r="C9" s="28" t="str">
        <x:v>20 / 20 / 20 for Jan-Mar</x:v>
      </x:c>
      <x:c r="D9" s="28" t="str"/>
    </x:row>
    <x:row r="10">
      <x:c r="A10" s="28" t="str">
        <x:v>Per-file totals</x:v>
      </x:c>
      <x:c r="B10" s="28" t="str"/>
      <x:c r="C10" s="28" t="str">
        <x:v>Recorded</x:v>
      </x:c>
      <x:c r="D10" s="28" t="str"/>
    </x:row>
    <x:row r="11">
      <x:c r="A11" s="28" t="str">
        <x:v>Introduce April drift</x:v>
      </x:c>
      <x:c r="B11" s="28" t="str"/>
      <x:c r="C11" s="28" t="str">
        <x:v>Failure diagnosed, not hidden</x:v>
      </x:c>
      <x:c r="D11" s="28" t="str"/>
    </x:row>
    <x:row r="12">
      <x:c r="A12" s="28" t="str">
        <x:v>Recovery</x:v>
      </x:c>
      <x:c r="B12" s="28" t="str"/>
      <x:c r="C12" s="28" t="str">
        <x:v>Structural cause documented</x:v>
      </x:c>
      <x:c r="D12" s="28" t="str"/>
    </x:row>
    <x:row r="13">
      <x:c r="A13" s="28" t="str">
        <x:v>Explain-back</x:v>
      </x:c>
      <x:c r="B13" s="28" t="str"/>
      <x:c r="C13" s="28" t="str"/>
      <x:c r="D13" s="28" t="str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8" hidden="0" customWidth="1"/>
    <x:col min="4" max="4" width="42" hidden="0" customWidth="1"/>
  </x:cols>
  <x:sheetData>
    <x:row r="1" ht="28" customHeight="1">
      <x:c r="A1" s="4" t="str">
        <x:v>AX8 - Merge - Append</x:v>
      </x:c>
      <x:c r="B1" s="4"/>
      <x:c r="C1" s="4"/>
      <x:c r="D1" s="4"/>
    </x:row>
    <x:row r="3">
      <x:c r="A3" s="23" t="str">
        <x:v>Control</x:v>
      </x:c>
      <x:c r="B3" s="23" t="str">
        <x:v>Your evidence</x:v>
      </x:c>
      <x:c r="C3" s="23" t="str">
        <x:v>Pass condition</x:v>
      </x:c>
      <x:c r="D3" s="23" t="str">
        <x:v>Changed retry</x:v>
      </x:c>
    </x:row>
    <x:row r="4">
      <x:c r="A4" s="28" t="str">
        <x:v>Append Jan + Feb</x:v>
      </x:c>
      <x:c r="B4" s="28" t="str"/>
      <x:c r="C4" s="28" t="str">
        <x:v>50 rows</x:v>
      </x:c>
      <x:c r="D4" s="28" t="str">
        <x:v>After review use customer master with a missing key.</x:v>
      </x:c>
    </x:row>
    <x:row r="5">
      <x:c r="A5" s="28" t="str">
        <x:v>Fact grain</x:v>
      </x:c>
      <x:c r="B5" s="28" t="str"/>
      <x:c r="C5" s="28" t="str">
        <x:v>One row per ticket</x:v>
      </x:c>
      <x:c r="D5" s="28" t="str"/>
    </x:row>
    <x:row r="6">
      <x:c r="A6" s="28" t="str">
        <x:v>Team master grain</x:v>
      </x:c>
      <x:c r="B6" s="28" t="str"/>
      <x:c r="C6" s="28" t="str">
        <x:v>One row per TeamID expected</x:v>
      </x:c>
      <x:c r="D6" s="28" t="str"/>
    </x:row>
    <x:row r="7">
      <x:c r="A7" s="28" t="str">
        <x:v>Duplicate TeamID test</x:v>
      </x:c>
      <x:c r="B7" s="28" t="str"/>
      <x:c r="C7" s="28" t="str">
        <x:v>Detect T03 duplicate</x:v>
      </x:c>
      <x:c r="D7" s="28" t="str"/>
    </x:row>
    <x:row r="8">
      <x:c r="A8" s="28" t="str">
        <x:v>Merge kind</x:v>
      </x:c>
      <x:c r="B8" s="28" t="str"/>
      <x:c r="C8" s="28" t="str">
        <x:v>Justified</x:v>
      </x:c>
      <x:c r="D8" s="28" t="str"/>
    </x:row>
    <x:row r="9">
      <x:c r="A9" s="28" t="str">
        <x:v>Row count after expansion</x:v>
      </x:c>
      <x:c r="B9" s="28" t="str"/>
      <x:c r="C9" s="28" t="str">
        <x:v>Must not multiply after repair</x:v>
      </x:c>
      <x:c r="D9" s="28" t="str"/>
    </x:row>
    <x:row r="10">
      <x:c r="A10" s="28" t="str">
        <x:v>Left anti unmatched list</x:v>
      </x:c>
      <x:c r="B10" s="28" t="str"/>
      <x:c r="C10" s="28" t="str">
        <x:v>Explained</x:v>
      </x:c>
      <x:c r="D10" s="28" t="str"/>
    </x:row>
    <x:row r="11">
      <x:c r="A11" s="28" t="str">
        <x:v>Cost total before/after</x:v>
      </x:c>
      <x:c r="B11" s="28" t="str"/>
      <x:c r="C11" s="28" t="str">
        <x:v>Stable</x:v>
      </x:c>
      <x:c r="D11" s="28" t="str"/>
    </x:row>
    <x:row r="12">
      <x:c r="A12" s="28" t="str">
        <x:v>Explain-back</x:v>
      </x:c>
      <x:c r="B12" s="28" t="str"/>
      <x:c r="C12" s="28" t="str"/>
      <x:c r="D12" s="28" t="str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8" hidden="0" customWidth="1"/>
    <x:col min="4" max="4" width="42" hidden="0" customWidth="1"/>
  </x:cols>
  <x:sheetData>
    <x:row r="1" ht="28" customHeight="1">
      <x:c r="A1" s="4" t="str">
        <x:v>AX9 - Parameters</x:v>
      </x:c>
      <x:c r="B1" s="4"/>
      <x:c r="C1" s="4"/>
      <x:c r="D1" s="4"/>
    </x:row>
    <x:row r="3">
      <x:c r="A3" s="23" t="str">
        <x:v>Parameter contract</x:v>
      </x:c>
      <x:c r="B3" s="23" t="str">
        <x:v>Your evidence</x:v>
      </x:c>
      <x:c r="C3" s="23" t="str">
        <x:v>Validation</x:v>
      </x:c>
      <x:c r="D3" s="23" t="str">
        <x:v>Changed retry</x:v>
      </x:c>
    </x:row>
    <x:row r="4">
      <x:c r="A4" s="28" t="str">
        <x:v>Parameter name</x:v>
      </x:c>
      <x:c r="B4" s="28" t="str"/>
      <x:c r="C4" s="28" t="str"/>
      <x:c r="D4" s="28" t="str">
        <x:v>After review use a different parameter type.</x:v>
      </x:c>
    </x:row>
    <x:row r="5">
      <x:c r="A5" s="28" t="str">
        <x:v>Purpose</x:v>
      </x:c>
      <x:c r="B5" s="28" t="str"/>
      <x:c r="C5" s="28" t="str"/>
      <x:c r="D5" s="28" t="str"/>
    </x:row>
    <x:row r="6">
      <x:c r="A6" s="28" t="str">
        <x:v>Type</x:v>
      </x:c>
      <x:c r="B6" s="28" t="str"/>
      <x:c r="C6" s="28" t="str"/>
      <x:c r="D6" s="28" t="str"/>
    </x:row>
    <x:row r="7">
      <x:c r="A7" s="28" t="str">
        <x:v>Current value</x:v>
      </x:c>
      <x:c r="B7" s="28" t="str"/>
      <x:c r="C7" s="28" t="str"/>
      <x:c r="D7" s="28" t="str"/>
    </x:row>
    <x:row r="8">
      <x:c r="A8" s="28" t="str">
        <x:v>Allowed values / boundary</x:v>
      </x:c>
      <x:c r="B8" s="28" t="str"/>
      <x:c r="C8" s="28" t="str"/>
      <x:c r="D8" s="28" t="str"/>
    </x:row>
    <x:row r="9">
      <x:c r="A9" s="28" t="str">
        <x:v>Owner</x:v>
      </x:c>
      <x:c r="B9" s="28" t="str"/>
      <x:c r="C9" s="28" t="str"/>
      <x:c r="D9" s="28" t="str"/>
    </x:row>
    <x:row r="10">
      <x:c r="A10" s="28" t="str">
        <x:v>Query reference</x:v>
      </x:c>
      <x:c r="B10" s="28" t="str"/>
      <x:c r="C10" s="28" t="str"/>
      <x:c r="D10" s="28" t="str"/>
    </x:row>
    <x:row r="11">
      <x:c r="A11" s="28" t="str">
        <x:v>Before row/total control</x:v>
      </x:c>
      <x:c r="B11" s="28" t="str"/>
      <x:c r="C11" s="28" t="str"/>
      <x:c r="D11" s="28" t="str"/>
    </x:row>
    <x:row r="12">
      <x:c r="A12" s="28" t="str">
        <x:v>After row/total control</x:v>
      </x:c>
      <x:c r="B12" s="28" t="str"/>
      <x:c r="C12" s="28" t="str"/>
      <x:c r="D12" s="28" t="str"/>
    </x:row>
    <x:row r="13">
      <x:c r="A13" s="28" t="str">
        <x:v>Only intended effect?</x:v>
      </x:c>
      <x:c r="B13" s="28" t="str"/>
      <x:c r="C13" s="28" t="str"/>
      <x:c r="D13" s="28" t="str"/>
    </x:row>
    <x:row r="14">
      <x:c r="A14" s="28" t="str">
        <x:v>Explain-back</x:v>
      </x:c>
      <x:c r="B14" s="28" t="str"/>
      <x:c r="C14" s="28" t="str"/>
      <x:c r="D14" s="28" t="str"/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38" hidden="0" customWidth="1"/>
    <x:col min="4" max="4" width="42" hidden="0" customWidth="1"/>
  </x:cols>
  <x:sheetData>
    <x:row r="1" ht="28" customHeight="1">
      <x:c r="A1" s="4" t="str">
        <x:v>AX10 - Month - End</x:v>
      </x:c>
      <x:c r="B1" s="4"/>
      <x:c r="C1" s="4"/>
      <x:c r="D1" s="4"/>
    </x:row>
    <x:row r="3">
      <x:c r="A3" s="23" t="str">
        <x:v>Release step</x:v>
      </x:c>
      <x:c r="B3" s="23" t="str">
        <x:v>Your evidence</x:v>
      </x:c>
      <x:c r="C3" s="23" t="str">
        <x:v>Status / control</x:v>
      </x:c>
      <x:c r="D3" s="23" t="str">
        <x:v>Changed retry</x:v>
      </x:c>
    </x:row>
    <x:row r="4">
      <x:c r="A4" s="28" t="str">
        <x:v>Expected file inventory</x:v>
      </x:c>
      <x:c r="B4" s="28" t="str"/>
      <x:c r="C4" s="28" t="str"/>
      <x:c r="D4" s="28" t="str">
        <x:v>After review use quarter-end schema drift + late file.</x:v>
      </x:c>
    </x:row>
    <x:row r="5">
      <x:c r="A5" s="28" t="str">
        <x:v>Actual file inventory</x:v>
      </x:c>
      <x:c r="B5" s="28" t="str"/>
      <x:c r="C5" s="28" t="str"/>
      <x:c r="D5" s="28" t="str"/>
    </x:row>
    <x:row r="6">
      <x:c r="A6" s="28" t="str">
        <x:v>Backup exclusion</x:v>
      </x:c>
      <x:c r="B6" s="28" t="str"/>
      <x:c r="C6" s="28" t="str"/>
      <x:c r="D6" s="28" t="str"/>
    </x:row>
    <x:row r="7">
      <x:c r="A7" s="28" t="str">
        <x:v>Parameter/config check</x:v>
      </x:c>
      <x:c r="B7" s="28" t="str"/>
      <x:c r="C7" s="28" t="str"/>
      <x:c r="D7" s="28" t="str"/>
    </x:row>
    <x:row r="8">
      <x:c r="A8" s="28" t="str">
        <x:v>Refresh result</x:v>
      </x:c>
      <x:c r="B8" s="28" t="str"/>
      <x:c r="C8" s="28" t="str"/>
      <x:c r="D8" s="28" t="str"/>
    </x:row>
    <x:row r="9">
      <x:c r="A9" s="28" t="str">
        <x:v>Duplicate key check</x:v>
      </x:c>
      <x:c r="B9" s="28" t="str"/>
      <x:c r="C9" s="28" t="str"/>
      <x:c r="D9" s="28" t="str"/>
    </x:row>
    <x:row r="10">
      <x:c r="A10" s="28" t="str">
        <x:v>Unmatched product check</x:v>
      </x:c>
      <x:c r="B10" s="28" t="str"/>
      <x:c r="C10" s="28" t="str"/>
      <x:c r="D10" s="28" t="str"/>
    </x:row>
    <x:row r="11">
      <x:c r="A11" s="28" t="str">
        <x:v>Schema drift check</x:v>
      </x:c>
      <x:c r="B11" s="28" t="str"/>
      <x:c r="C11" s="28" t="str"/>
      <x:c r="D11" s="28" t="str"/>
    </x:row>
    <x:row r="12">
      <x:c r="A12" s="28" t="str">
        <x:v>Critical total reconciliation</x:v>
      </x:c>
      <x:c r="B12" s="28" t="str"/>
      <x:c r="C12" s="28" t="str"/>
      <x:c r="D12" s="28" t="str"/>
    </x:row>
    <x:row r="13">
      <x:c r="A13" s="28" t="str">
        <x:v>Pivot/report reconciliation</x:v>
      </x:c>
      <x:c r="B13" s="28" t="str"/>
      <x:c r="C13" s="28" t="str"/>
      <x:c r="D13" s="28" t="str"/>
    </x:row>
    <x:row r="14">
      <x:c r="A14" s="28" t="str">
        <x:v>Release decision</x:v>
      </x:c>
      <x:c r="B14" s="28" t="str"/>
      <x:c r="C14" s="28" t="str"/>
      <x:c r="D14" s="28" t="str"/>
    </x:row>
    <x:row r="15">
      <x:c r="A15" s="28" t="str">
        <x:v>Repair + rerun evidence</x:v>
      </x:c>
      <x:c r="B15" s="28" t="str"/>
      <x:c r="C15" s="28" t="str"/>
      <x:c r="D15" s="28" t="str"/>
    </x:row>
    <x:row r="16">
      <x:c r="A16" s="28" t="str">
        <x:v>Archive/handoff</x:v>
      </x:c>
      <x:c r="B16" s="28" t="str"/>
      <x:c r="C16" s="28" t="str"/>
      <x:c r="D16" s="28" t="str"/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32" hidden="0" customWidth="1"/>
    <x:col min="5" max="5" width="26" hidden="0" customWidth="1"/>
    <x:col min="6" max="6" width="20" hidden="0" customWidth="1"/>
    <x:col min="7" max="7" width="30" hidden="0" customWidth="1"/>
    <x:col min="8" max="8" width="18" hidden="0" customWidth="1"/>
  </x:cols>
  <x:sheetData>
    <x:row r="1" ht="28" customHeight="1">
      <x:c r="A1" s="4" t="str">
        <x:v>C2-01 Evidence Log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Lesson</x:v>
      </x:c>
      <x:c r="B3" s="23" t="str">
        <x:v>Attempt saved</x:v>
      </x:c>
      <x:c r="C3" s="23" t="str">
        <x:v>Independent file/task</x:v>
      </x:c>
      <x:c r="D3" s="23" t="str">
        <x:v>Validation evidence</x:v>
      </x:c>
      <x:c r="E3" s="23" t="str">
        <x:v>Explain-back</x:v>
      </x:c>
      <x:c r="F3" s="23" t="str">
        <x:v>Review after attempt</x:v>
      </x:c>
      <x:c r="G3" s="23" t="str">
        <x:v>Changed retry</x:v>
      </x:c>
      <x:c r="H3" s="23" t="str">
        <x:v>Evidence ID</x:v>
      </x:c>
    </x:row>
    <x:row r="4">
      <x:c r="A4" s="28" t="str">
        <x:v>AX1</x:v>
      </x:c>
      <x:c r="B4" s="28" t="str">
        <x:v>NO</x:v>
      </x:c>
      <x:c r="C4" s="28" t="str"/>
      <x:c r="D4" s="28" t="str"/>
      <x:c r="E4" s="28" t="str"/>
      <x:c r="F4" s="28" t="str">
        <x:v>NO</x:v>
      </x:c>
      <x:c r="G4" s="28" t="str"/>
      <x:c r="H4" s="28" t="str"/>
    </x:row>
    <x:row r="5">
      <x:c r="A5" s="28" t="str">
        <x:v>AX2</x:v>
      </x:c>
      <x:c r="B5" s="28" t="str">
        <x:v>NO</x:v>
      </x:c>
      <x:c r="C5" s="28" t="str"/>
      <x:c r="D5" s="28" t="str"/>
      <x:c r="E5" s="28" t="str"/>
      <x:c r="F5" s="28" t="str">
        <x:v>NO</x:v>
      </x:c>
      <x:c r="G5" s="28" t="str"/>
      <x:c r="H5" s="28" t="str"/>
    </x:row>
    <x:row r="6">
      <x:c r="A6" s="28" t="str">
        <x:v>AX3</x:v>
      </x:c>
      <x:c r="B6" s="28" t="str">
        <x:v>NO</x:v>
      </x:c>
      <x:c r="C6" s="28" t="str"/>
      <x:c r="D6" s="28" t="str"/>
      <x:c r="E6" s="28" t="str"/>
      <x:c r="F6" s="28" t="str">
        <x:v>NO</x:v>
      </x:c>
      <x:c r="G6" s="28" t="str"/>
      <x:c r="H6" s="28" t="str"/>
    </x:row>
    <x:row r="7">
      <x:c r="A7" s="28" t="str">
        <x:v>AX4</x:v>
      </x:c>
      <x:c r="B7" s="28" t="str">
        <x:v>NO</x:v>
      </x:c>
      <x:c r="C7" s="28" t="str"/>
      <x:c r="D7" s="28" t="str"/>
      <x:c r="E7" s="28" t="str"/>
      <x:c r="F7" s="28" t="str">
        <x:v>NO</x:v>
      </x:c>
      <x:c r="G7" s="28" t="str"/>
      <x:c r="H7" s="28" t="str"/>
    </x:row>
    <x:row r="8">
      <x:c r="A8" s="28" t="str">
        <x:v>AX5</x:v>
      </x:c>
      <x:c r="B8" s="28" t="str">
        <x:v>NO</x:v>
      </x:c>
      <x:c r="C8" s="28" t="str"/>
      <x:c r="D8" s="28" t="str"/>
      <x:c r="E8" s="28" t="str"/>
      <x:c r="F8" s="28" t="str">
        <x:v>NO</x:v>
      </x:c>
      <x:c r="G8" s="28" t="str"/>
      <x:c r="H8" s="28" t="str"/>
    </x:row>
    <x:row r="9">
      <x:c r="A9" s="28" t="str">
        <x:v>AX6</x:v>
      </x:c>
      <x:c r="B9" s="28" t="str">
        <x:v>NO</x:v>
      </x:c>
      <x:c r="C9" s="28" t="str"/>
      <x:c r="D9" s="28" t="str"/>
      <x:c r="E9" s="28" t="str"/>
      <x:c r="F9" s="28" t="str">
        <x:v>NO</x:v>
      </x:c>
      <x:c r="G9" s="28" t="str"/>
      <x:c r="H9" s="28" t="str"/>
    </x:row>
    <x:row r="10">
      <x:c r="A10" s="28" t="str">
        <x:v>AX7</x:v>
      </x:c>
      <x:c r="B10" s="28" t="str">
        <x:v>NO</x:v>
      </x:c>
      <x:c r="C10" s="28" t="str"/>
      <x:c r="D10" s="28" t="str"/>
      <x:c r="E10" s="28" t="str"/>
      <x:c r="F10" s="28" t="str">
        <x:v>NO</x:v>
      </x:c>
      <x:c r="G10" s="28" t="str"/>
      <x:c r="H10" s="28" t="str"/>
    </x:row>
    <x:row r="11">
      <x:c r="A11" s="28" t="str">
        <x:v>AX8</x:v>
      </x:c>
      <x:c r="B11" s="28" t="str">
        <x:v>NO</x:v>
      </x:c>
      <x:c r="C11" s="28" t="str"/>
      <x:c r="D11" s="28" t="str"/>
      <x:c r="E11" s="28" t="str"/>
      <x:c r="F11" s="28" t="str">
        <x:v>NO</x:v>
      </x:c>
      <x:c r="G11" s="28" t="str"/>
      <x:c r="H11" s="28" t="str"/>
    </x:row>
    <x:row r="12">
      <x:c r="A12" s="28" t="str">
        <x:v>AX9</x:v>
      </x:c>
      <x:c r="B12" s="28" t="str">
        <x:v>NO</x:v>
      </x:c>
      <x:c r="C12" s="28" t="str"/>
      <x:c r="D12" s="28" t="str"/>
      <x:c r="E12" s="28" t="str"/>
      <x:c r="F12" s="28" t="str">
        <x:v>NO</x:v>
      </x:c>
      <x:c r="G12" s="28" t="str"/>
      <x:c r="H12" s="28" t="str"/>
    </x:row>
    <x:row r="13">
      <x:c r="A13" s="28" t="str">
        <x:v>AX10</x:v>
      </x:c>
      <x:c r="B13" s="28" t="str">
        <x:v>NO</x:v>
      </x:c>
      <x:c r="C13" s="28" t="str"/>
      <x:c r="D13" s="28" t="str"/>
      <x:c r="E13" s="28" t="str"/>
      <x:c r="F13" s="28" t="str">
        <x:v>NO</x:v>
      </x:c>
      <x:c r="G13" s="28" t="str"/>
      <x:c r="H13" s="28" t="str"/>
    </x:row>
    <x:row r="14">
      <x:c r="A14" s="28" t="str">
        <x:v>Mini-Lab</x:v>
      </x:c>
      <x:c r="B14" s="28" t="str">
        <x:v>NO</x:v>
      </x:c>
      <x:c r="C14" s="28" t="str"/>
      <x:c r="D14" s="28" t="str"/>
      <x:c r="E14" s="28" t="str"/>
      <x:c r="F14" s="28" t="str">
        <x:v>NO</x:v>
      </x:c>
      <x:c r="G14" s="28" t="str"/>
      <x:c r="H14" s="28" t="str"/>
    </x:row>
  </x:sheetData>
  <x:mergeCells>
    <x:mergeCell ref="A1:H1"/>
  </x:mergeCells>
  <x:dataValidations count="2">
    <x:dataValidation type="list" sqref="B4:B14">
      <x:formula1>"NO,YES"</x:formula1>
    </x:dataValidation>
    <x:dataValidation type="list" sqref="F4:F14">
      <x:formula1>"NO,YES"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6" hidden="0" customWidth="1"/>
    <x:col min="7" max="7" width="21" hidden="0" customWidth="1"/>
    <x:col min="8" max="8" width="15" hidden="0" customWidth="1"/>
    <x:col min="10" max="10" width="25" hidden="0" customWidth="1"/>
    <x:col min="11" max="11" width="14" hidden="0" customWidth="1"/>
  </x:cols>
  <x:sheetData>
    <x:row r="1" ht="28" customHeight="1">
      <x:c r="A1" s="4" t="str">
        <x:v>C2-01 Mastery Tracker</x:v>
      </x:c>
      <x:c r="B1" s="4"/>
      <x:c r="C1" s="4"/>
      <x:c r="D1" s="4"/>
      <x:c r="E1" s="4"/>
      <x:c r="F1" s="4"/>
      <x:c r="G1" s="4"/>
      <x:c r="H1" s="4"/>
      <x:c r="J1" s="4" t="str">
        <x:v>C2-01 Progress</x:v>
      </x:c>
      <x:c r="K1" s="4"/>
      <x:c r="L1" s="4"/>
      <x:c r="M1" s="4"/>
    </x:row>
    <x:row r="3">
      <x:c r="A3" s="23" t="str">
        <x:v>Lesson</x:v>
      </x:c>
      <x:c r="B3" s="23" t="str">
        <x:v>Attempt</x:v>
      </x:c>
      <x:c r="C3" s="23" t="str">
        <x:v>Fresh task</x:v>
      </x:c>
      <x:c r="D3" s="23" t="str">
        <x:v>Validation</x:v>
      </x:c>
      <x:c r="E3" s="23" t="str">
        <x:v>Explain</x:v>
      </x:c>
      <x:c r="F3" s="23" t="str">
        <x:v>Changed retry</x:v>
      </x:c>
      <x:c r="G3" s="23" t="str">
        <x:v>Runtime</x:v>
      </x:c>
      <x:c r="H3" s="23" t="str">
        <x:v>Status</x:v>
      </x:c>
      <x:c r="J3" s="23" t="str">
        <x:v>Metric</x:v>
      </x:c>
      <x:c r="K3" s="23" t="str">
        <x:v>Value</x:v>
      </x:c>
    </x:row>
    <x:row r="4">
      <x:c r="A4" t="str">
        <x:v>AX1</x:v>
      </x:c>
      <x:c r="B4" t="str">
        <x:v>NO</x:v>
      </x:c>
      <x:c r="C4" t="str">
        <x:v>NO</x:v>
      </x:c>
      <x:c r="D4" t="str">
        <x:v>NO</x:v>
      </x:c>
      <x:c r="E4" t="str">
        <x:v>NO</x:v>
      </x:c>
      <x:c r="F4" t="str">
        <x:v>NO</x:v>
      </x:c>
      <x:c r="G4" t="str">
        <x:v>NOT CHECKED</x:v>
      </x:c>
      <x:c r="H4" t="str">
        <x:f>IF(AND(B4="YES",C4="YES",D4="YES",E4="YES",F4="YES",G4="PASS"),"MASTERED","NOT READY")</x:f>
        <x:v>NOT READY</x:v>
      </x:c>
      <x:c r="J4" t="str">
        <x:v>Mastered lessons</x:v>
      </x:c>
      <x:c r="K4" t="n">
        <x:f>COUNTIF(H4:H13,"MASTERED")</x:f>
        <x:v>0</x:v>
      </x:c>
    </x:row>
    <x:row r="5">
      <x:c r="A5" t="str">
        <x:v>AX2</x:v>
      </x:c>
      <x:c r="B5" t="str">
        <x:v>NO</x:v>
      </x:c>
      <x:c r="C5" t="str">
        <x:v>NO</x:v>
      </x:c>
      <x:c r="D5" t="str">
        <x:v>NO</x:v>
      </x:c>
      <x:c r="E5" t="str">
        <x:v>NO</x:v>
      </x:c>
      <x:c r="F5" t="str">
        <x:v>NO</x:v>
      </x:c>
      <x:c r="G5" t="str">
        <x:v>NOT CHECKED</x:v>
      </x:c>
      <x:c r="H5" t="str">
        <x:f>IF(AND(B5="YES",C5="YES",D5="YES",E5="YES",F5="YES",G5="PASS"),"MASTERED","NOT READY")</x:f>
        <x:v>NOT READY</x:v>
      </x:c>
      <x:c r="J5" t="str">
        <x:v>Ready + runtime PASS</x:v>
      </x:c>
      <x:c r="K5" t="n">
        <x:f>COUNTIFS(B4:B13,"YES",C4:C13,"YES",D4:D13,"YES",E4:E13,"YES",F4:F13,"YES",G4:G13,"PASS")</x:f>
        <x:v>0</x:v>
      </x:c>
    </x:row>
    <x:row r="6">
      <x:c r="A6" t="str">
        <x:v>AX3</x:v>
      </x:c>
      <x:c r="B6" t="str">
        <x:v>NO</x:v>
      </x:c>
      <x:c r="C6" t="str">
        <x:v>NO</x:v>
      </x:c>
      <x:c r="D6" t="str">
        <x:v>NO</x:v>
      </x:c>
      <x:c r="E6" t="str">
        <x:v>NO</x:v>
      </x:c>
      <x:c r="F6" t="str">
        <x:v>NO</x:v>
      </x:c>
      <x:c r="G6" t="str">
        <x:v>NOT CHECKED</x:v>
      </x:c>
      <x:c r="H6" t="str">
        <x:f>IF(AND(B6="YES",C6="YES",D6="YES",E6="YES",F6="YES",G6="PASS"),"MASTERED","NOT READY")</x:f>
        <x:v>NOT READY</x:v>
      </x:c>
      <x:c r="J6" t="str">
        <x:v>Blocked by environment</x:v>
      </x:c>
      <x:c r="K6" t="n">
        <x:f>COUNTIF(G4:G13,"ENVIRONMENT BLOCKED")</x:f>
        <x:v>0</x:v>
      </x:c>
    </x:row>
    <x:row r="7">
      <x:c r="A7" t="str">
        <x:v>AX4</x:v>
      </x:c>
      <x:c r="B7" t="str">
        <x:v>NO</x:v>
      </x:c>
      <x:c r="C7" t="str">
        <x:v>NO</x:v>
      </x:c>
      <x:c r="D7" t="str">
        <x:v>NO</x:v>
      </x:c>
      <x:c r="E7" t="str">
        <x:v>NO</x:v>
      </x:c>
      <x:c r="F7" t="str">
        <x:v>NO</x:v>
      </x:c>
      <x:c r="G7" t="str">
        <x:v>NOT CHECKED</x:v>
      </x:c>
      <x:c r="H7" t="str">
        <x:f>IF(AND(B7="YES",C7="YES",D7="YES",E7="YES",F7="YES",G7="PASS"),"MASTERED","NOT READY")</x:f>
        <x:v>NOT READY</x:v>
      </x:c>
    </x:row>
    <x:row r="8">
      <x:c r="A8" t="str">
        <x:v>AX5</x:v>
      </x:c>
      <x:c r="B8" t="str">
        <x:v>NO</x:v>
      </x:c>
      <x:c r="C8" t="str">
        <x:v>NO</x:v>
      </x:c>
      <x:c r="D8" t="str">
        <x:v>NO</x:v>
      </x:c>
      <x:c r="E8" t="str">
        <x:v>NO</x:v>
      </x:c>
      <x:c r="F8" t="str">
        <x:v>NO</x:v>
      </x:c>
      <x:c r="G8" t="str">
        <x:v>NOT CHECKED</x:v>
      </x:c>
      <x:c r="H8" t="str">
        <x:f>IF(AND(B8="YES",C8="YES",D8="YES",E8="YES",F8="YES",G8="PASS"),"MASTERED","NOT READY")</x:f>
        <x:v>NOT READY</x:v>
      </x:c>
    </x:row>
    <x:row r="9">
      <x:c r="A9" t="str">
        <x:v>AX6</x:v>
      </x:c>
      <x:c r="B9" t="str">
        <x:v>NO</x:v>
      </x:c>
      <x:c r="C9" t="str">
        <x:v>NO</x:v>
      </x:c>
      <x:c r="D9" t="str">
        <x:v>NO</x:v>
      </x:c>
      <x:c r="E9" t="str">
        <x:v>NO</x:v>
      </x:c>
      <x:c r="F9" t="str">
        <x:v>NO</x:v>
      </x:c>
      <x:c r="G9" t="str">
        <x:v>NOT CHECKED</x:v>
      </x:c>
      <x:c r="H9" t="str">
        <x:f>IF(AND(B9="YES",C9="YES",D9="YES",E9="YES",F9="YES",G9="PASS"),"MASTERED","NOT READY")</x:f>
        <x:v>NOT READY</x:v>
      </x:c>
    </x:row>
    <x:row r="10">
      <x:c r="A10" t="str">
        <x:v>AX7</x:v>
      </x:c>
      <x:c r="B10" t="str">
        <x:v>NO</x:v>
      </x:c>
      <x:c r="C10" t="str">
        <x:v>NO</x:v>
      </x:c>
      <x:c r="D10" t="str">
        <x:v>NO</x:v>
      </x:c>
      <x:c r="E10" t="str">
        <x:v>NO</x:v>
      </x:c>
      <x:c r="F10" t="str">
        <x:v>NO</x:v>
      </x:c>
      <x:c r="G10" t="str">
        <x:v>NOT CHECKED</x:v>
      </x:c>
      <x:c r="H10" t="str">
        <x:f>IF(AND(B10="YES",C10="YES",D10="YES",E10="YES",F10="YES",G10="PASS"),"MASTERED","NOT READY")</x:f>
        <x:v>NOT READY</x:v>
      </x:c>
    </x:row>
    <x:row r="11">
      <x:c r="A11" t="str">
        <x:v>AX8</x:v>
      </x:c>
      <x:c r="B11" t="str">
        <x:v>NO</x:v>
      </x:c>
      <x:c r="C11" t="str">
        <x:v>NO</x:v>
      </x:c>
      <x:c r="D11" t="str">
        <x:v>NO</x:v>
      </x:c>
      <x:c r="E11" t="str">
        <x:v>NO</x:v>
      </x:c>
      <x:c r="F11" t="str">
        <x:v>NO</x:v>
      </x:c>
      <x:c r="G11" t="str">
        <x:v>NOT CHECKED</x:v>
      </x:c>
      <x:c r="H11" t="str">
        <x:f>IF(AND(B11="YES",C11="YES",D11="YES",E11="YES",F11="YES",G11="PASS"),"MASTERED","NOT READY")</x:f>
        <x:v>NOT READY</x:v>
      </x:c>
    </x:row>
    <x:row r="12">
      <x:c r="A12" t="str">
        <x:v>AX9</x:v>
      </x:c>
      <x:c r="B12" t="str">
        <x:v>NO</x:v>
      </x:c>
      <x:c r="C12" t="str">
        <x:v>NO</x:v>
      </x:c>
      <x:c r="D12" t="str">
        <x:v>NO</x:v>
      </x:c>
      <x:c r="E12" t="str">
        <x:v>NO</x:v>
      </x:c>
      <x:c r="F12" t="str">
        <x:v>NO</x:v>
      </x:c>
      <x:c r="G12" t="str">
        <x:v>NOT CHECKED</x:v>
      </x:c>
      <x:c r="H12" t="str">
        <x:f>IF(AND(B12="YES",C12="YES",D12="YES",E12="YES",F12="YES",G12="PASS"),"MASTERED","NOT READY")</x:f>
        <x:v>NOT READY</x:v>
      </x:c>
    </x:row>
    <x:row r="13">
      <x:c r="A13" t="str">
        <x:v>AX10</x:v>
      </x:c>
      <x:c r="B13" t="str">
        <x:v>NO</x:v>
      </x:c>
      <x:c r="C13" t="str">
        <x:v>NO</x:v>
      </x:c>
      <x:c r="D13" t="str">
        <x:v>NO</x:v>
      </x:c>
      <x:c r="E13" t="str">
        <x:v>NO</x:v>
      </x:c>
      <x:c r="F13" t="str">
        <x:v>NO</x:v>
      </x:c>
      <x:c r="G13" t="str">
        <x:v>NOT CHECKED</x:v>
      </x:c>
      <x:c r="H13" t="str">
        <x:f>IF(AND(B13="YES",C13="YES",D13="YES",E13="YES",F13="YES",G13="PASS"),"MASTERED","NOT READY")</x:f>
        <x:v>NOT READY</x:v>
      </x:c>
    </x:row>
    <x:row r="14">
      <x:c r="A14" t="str">
        <x:v>Mini-Lab</x:v>
      </x:c>
      <x:c r="B14" t="str">
        <x:v>NO</x:v>
      </x:c>
      <x:c r="C14" t="str">
        <x:v>NO</x:v>
      </x:c>
      <x:c r="D14" t="str">
        <x:v>NO</x:v>
      </x:c>
      <x:c r="E14" t="str">
        <x:v>NO</x:v>
      </x:c>
      <x:c r="F14" t="str">
        <x:v>NO</x:v>
      </x:c>
      <x:c r="G14" t="str">
        <x:v>NOT CHECKED</x:v>
      </x:c>
      <x:c r="H14" t="str">
        <x:f>IF(AND(B14="YES",C14="YES",D14="YES",E14="YES",F14="YES",G14="PASS"),"MASTERED","NOT READY")</x:f>
        <x:v>NOT READY</x:v>
      </x:c>
    </x:row>
    <x:row r="15">
      <x:c r="A15" t="str">
        <x:v>Gate A</x:v>
      </x:c>
      <x:c r="B15" t="str">
        <x:v>NO</x:v>
      </x:c>
      <x:c r="C15" t="str">
        <x:v>NO</x:v>
      </x:c>
      <x:c r="D15" t="str">
        <x:v>NO</x:v>
      </x:c>
      <x:c r="E15" t="str">
        <x:v>NO</x:v>
      </x:c>
      <x:c r="F15" t="str">
        <x:v>NO</x:v>
      </x:c>
      <x:c r="G15" t="str">
        <x:v>NOT CHECKED</x:v>
      </x:c>
      <x:c r="H15" t="str">
        <x:f>IF(AND(B15="YES",C15="YES",D15="YES",E15="YES",F15="YES",G15="PASS"),"MASTERED","NOT READY")</x:f>
        <x:v>NOT READY</x:v>
      </x:c>
    </x:row>
  </x:sheetData>
  <x:mergeCells>
    <x:mergeCell ref="A1:H1"/>
    <x:mergeCell ref="J1:M1"/>
  </x:mergeCells>
  <x:conditionalFormatting sqref="H4:H15">
    <x:cfRule type="expression" dxfId="0" priority="1">
      <x:formula>H4="MASTERED"</x:formula>
    </x:cfRule>
    <x:cfRule type="expression" dxfId="1" priority="2">
      <x:formula>H4="NOT READY"</x:formula>
    </x:cfRule>
  </x:conditionalFormatting>
  <x:dataValidations count="6">
    <x:dataValidation type="list" sqref="B4:B15">
      <x:formula1>"NO,YES"</x:formula1>
    </x:dataValidation>
    <x:dataValidation type="list" sqref="C4:C15">
      <x:formula1>"NO,YES"</x:formula1>
    </x:dataValidation>
    <x:dataValidation type="list" sqref="D4:D15">
      <x:formula1>"NO,YES"</x:formula1>
    </x:dataValidation>
    <x:dataValidation type="list" sqref="E4:E15">
      <x:formula1>"NO,YES"</x:formula1>
    </x:dataValidation>
    <x:dataValidation type="list" sqref="F4:F15">
      <x:formula1>"NO,YES"</x:formula1>
    </x:dataValidation>
    <x:dataValidation type="list" sqref="G4:G15">
      <x:formula1>"PASS,ENVIRONMENT BLOCKED,NOT CHECKED"</x:formula1>
    </x:dataValidation>
  </x:dataValidations>
  <x:pageMargins left="0.7" right="0.7" top="0.75" bottom="0.75" header="0.3" footer="0.3"/>
</x:worksheet>
</file>